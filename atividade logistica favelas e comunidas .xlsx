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nferente T1\Downloads\"/>
    </mc:Choice>
  </mc:AlternateContent>
  <xr:revisionPtr revIDLastSave="0" documentId="8_{22572DE0-0E78-4DCD-8F0D-2A14E6CEA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erguntas e Gráficos" sheetId="2" r:id="rId2"/>
    <sheet name="Aux_População" sheetId="3" r:id="rId3"/>
    <sheet name="Aux_Densidade" sheetId="4" r:id="rId4"/>
    <sheet name="Aux_Correlação" sheetId="5" r:id="rId5"/>
    <sheet name="Explicação das Siglas" sheetId="7" r:id="rId6"/>
  </sheets>
  <definedNames>
    <definedName name="_xlnm._FilterDatabase" localSheetId="0" hidden="1">Dados!$A$1:$T$93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C6" i="2"/>
  <c r="B6" i="2"/>
  <c r="C5" i="2"/>
  <c r="B5" i="2"/>
</calcChain>
</file>

<file path=xl/sharedStrings.xml><?xml version="1.0" encoding="utf-8"?>
<sst xmlns="http://schemas.openxmlformats.org/spreadsheetml/2006/main" count="400" uniqueCount="352">
  <si>
    <t>Coluna1</t>
  </si>
  <si>
    <t>Coluna2</t>
  </si>
  <si>
    <t>Coluna3</t>
  </si>
  <si>
    <t>5 perguntas sobre os dados</t>
  </si>
  <si>
    <t>Pergunta</t>
  </si>
  <si>
    <t>Fórmula</t>
  </si>
  <si>
    <t>Resultado</t>
  </si>
  <si>
    <t>1. Qual município possui a maior população?</t>
  </si>
  <si>
    <t>2. Qual município apresenta a maior densidade populacional?</t>
  </si>
  <si>
    <t>3. Qual é a população total dos municípios apresentados?</t>
  </si>
  <si>
    <t>4. Qual é a participação da população parda no total?</t>
  </si>
  <si>
    <t>5. Existe relação entre FC e população?</t>
  </si>
  <si>
    <t>Interpretação da questão 5:</t>
  </si>
  <si>
    <t>Correlação próxima de 1 indica forte relação positiva entre FC e população.</t>
  </si>
  <si>
    <t>cod_ibge</t>
  </si>
  <si>
    <t>municipio</t>
  </si>
  <si>
    <t>num_FC</t>
  </si>
  <si>
    <t>km2</t>
  </si>
  <si>
    <t>hectare</t>
  </si>
  <si>
    <t>hab/ha</t>
  </si>
  <si>
    <t>p_total</t>
  </si>
  <si>
    <t>p_branca</t>
  </si>
  <si>
    <t>p_preta</t>
  </si>
  <si>
    <t>p_amarela</t>
  </si>
  <si>
    <t>p_parda</t>
  </si>
  <si>
    <t>p_indig</t>
  </si>
  <si>
    <t>p_semd</t>
  </si>
  <si>
    <t>d_total</t>
  </si>
  <si>
    <t>DP</t>
  </si>
  <si>
    <t>DPPO</t>
  </si>
  <si>
    <t>DPPNOV</t>
  </si>
  <si>
    <t>DPPNOUO</t>
  </si>
  <si>
    <t>DPI</t>
  </si>
  <si>
    <t>DC</t>
  </si>
  <si>
    <t>São Paulo (SP)</t>
  </si>
  <si>
    <t>63,624</t>
  </si>
  <si>
    <t>6362,4</t>
  </si>
  <si>
    <t>Guarulhos (SP)</t>
  </si>
  <si>
    <t>11,245</t>
  </si>
  <si>
    <t>1124,5</t>
  </si>
  <si>
    <t>São Bernardo do Campo (SP)</t>
  </si>
  <si>
    <t>5,293</t>
  </si>
  <si>
    <t>529,3</t>
  </si>
  <si>
    <t>Campinas (SP)</t>
  </si>
  <si>
    <t>14,019</t>
  </si>
  <si>
    <t>1401,9</t>
  </si>
  <si>
    <t>Mauá (SP)</t>
  </si>
  <si>
    <t>5,868</t>
  </si>
  <si>
    <t>586,8</t>
  </si>
  <si>
    <t>Guarujá (SP)</t>
  </si>
  <si>
    <t>6,14</t>
  </si>
  <si>
    <t>614</t>
  </si>
  <si>
    <t>Santo André (SP)</t>
  </si>
  <si>
    <t>3,403</t>
  </si>
  <si>
    <t>340,3</t>
  </si>
  <si>
    <t>Osasco (SP)</t>
  </si>
  <si>
    <t>2,919</t>
  </si>
  <si>
    <t>291,9</t>
  </si>
  <si>
    <t>Itaquaquecetuba (SP)</t>
  </si>
  <si>
    <t>7,094</t>
  </si>
  <si>
    <t>709,4</t>
  </si>
  <si>
    <t>Diadema (SP)</t>
  </si>
  <si>
    <t>2,176</t>
  </si>
  <si>
    <t>217,6</t>
  </si>
  <si>
    <t>São Vicente (SP)</t>
  </si>
  <si>
    <t>6,579</t>
  </si>
  <si>
    <t>657,9</t>
  </si>
  <si>
    <t>Carapicuíba (SP)</t>
  </si>
  <si>
    <t>2,022</t>
  </si>
  <si>
    <t>202,2</t>
  </si>
  <si>
    <t>Embu das Artes (SP)</t>
  </si>
  <si>
    <t>4,581</t>
  </si>
  <si>
    <t>458,1</t>
  </si>
  <si>
    <t>Santos (SP)</t>
  </si>
  <si>
    <t>5,129</t>
  </si>
  <si>
    <t>512,9</t>
  </si>
  <si>
    <t>Taboão da Serra (SP)</t>
  </si>
  <si>
    <t>1,38</t>
  </si>
  <si>
    <t>138</t>
  </si>
  <si>
    <t>Cubatão (SP)</t>
  </si>
  <si>
    <t>3,074</t>
  </si>
  <si>
    <t>307,4</t>
  </si>
  <si>
    <t>Ferraz de Vasconcelos (SP)</t>
  </si>
  <si>
    <t>2,421</t>
  </si>
  <si>
    <t>242,1</t>
  </si>
  <si>
    <t>São Sebastião (SP)</t>
  </si>
  <si>
    <t>3,857</t>
  </si>
  <si>
    <t>385,7</t>
  </si>
  <si>
    <t>Ribeirão Preto (SP)</t>
  </si>
  <si>
    <t>1,795</t>
  </si>
  <si>
    <t>179,5</t>
  </si>
  <si>
    <t>Francisco Morato (SP)</t>
  </si>
  <si>
    <t>2,497</t>
  </si>
  <si>
    <t>249,7</t>
  </si>
  <si>
    <t>Praia Grande (SP)</t>
  </si>
  <si>
    <t>2,125</t>
  </si>
  <si>
    <t>212,5</t>
  </si>
  <si>
    <t>Suzano (SP)</t>
  </si>
  <si>
    <t>1,85</t>
  </si>
  <si>
    <t>185</t>
  </si>
  <si>
    <t>Jundiaí (SP)</t>
  </si>
  <si>
    <t>0,867</t>
  </si>
  <si>
    <t>86,7</t>
  </si>
  <si>
    <t>Mogi das Cruzes (SP)</t>
  </si>
  <si>
    <t>1,949</t>
  </si>
  <si>
    <t>194,9</t>
  </si>
  <si>
    <t>Bertioga (SP)</t>
  </si>
  <si>
    <t>4,014</t>
  </si>
  <si>
    <t>401,4</t>
  </si>
  <si>
    <t>Ubatuba (SP)</t>
  </si>
  <si>
    <t>5,509</t>
  </si>
  <si>
    <t>550,9</t>
  </si>
  <si>
    <t>Várzea Paulista (SP)</t>
  </si>
  <si>
    <t>0,806</t>
  </si>
  <si>
    <t>80,6</t>
  </si>
  <si>
    <t>Franco da Rocha (SP)</t>
  </si>
  <si>
    <t>1,8</t>
  </si>
  <si>
    <t>180</t>
  </si>
  <si>
    <t>Itapecerica da Serra (SP)</t>
  </si>
  <si>
    <t>1,308</t>
  </si>
  <si>
    <t>130,8</t>
  </si>
  <si>
    <t>Itapevi (SP)</t>
  </si>
  <si>
    <t>0,656</t>
  </si>
  <si>
    <t>65,6</t>
  </si>
  <si>
    <t>Sorocaba (SP)</t>
  </si>
  <si>
    <t>2,156</t>
  </si>
  <si>
    <t>215,6</t>
  </si>
  <si>
    <t>Sumaré (SP)</t>
  </si>
  <si>
    <t>1,469</t>
  </si>
  <si>
    <t>146,9</t>
  </si>
  <si>
    <t>Cotia (SP)</t>
  </si>
  <si>
    <t>0,719</t>
  </si>
  <si>
    <t>71,9</t>
  </si>
  <si>
    <t>Cajamar (SP)</t>
  </si>
  <si>
    <t>1,645</t>
  </si>
  <si>
    <t>164,5</t>
  </si>
  <si>
    <t>Piracicaba (SP)</t>
  </si>
  <si>
    <t>0,848</t>
  </si>
  <si>
    <t>84,8</t>
  </si>
  <si>
    <t>Campos do Jordão (SP)</t>
  </si>
  <si>
    <t>0,933</t>
  </si>
  <si>
    <t>93,3</t>
  </si>
  <si>
    <t>Barueri (SP)</t>
  </si>
  <si>
    <t>0,29</t>
  </si>
  <si>
    <t>29</t>
  </si>
  <si>
    <t>Caieiras (SP)</t>
  </si>
  <si>
    <t>0,424</t>
  </si>
  <si>
    <t>42,4</t>
  </si>
  <si>
    <t>Ilhabela (SP)</t>
  </si>
  <si>
    <t>1,096</t>
  </si>
  <si>
    <t>109,6</t>
  </si>
  <si>
    <t>São José dos Campos (SP)</t>
  </si>
  <si>
    <t>1,121</t>
  </si>
  <si>
    <t>112,1</t>
  </si>
  <si>
    <t>Jacareí (SP)</t>
  </si>
  <si>
    <t>0,906</t>
  </si>
  <si>
    <t>90,6</t>
  </si>
  <si>
    <t>Bauru (SP)</t>
  </si>
  <si>
    <t>2,38</t>
  </si>
  <si>
    <t>238</t>
  </si>
  <si>
    <t>Caraguatatuba (SP)</t>
  </si>
  <si>
    <t>1,296</t>
  </si>
  <si>
    <t>129,6</t>
  </si>
  <si>
    <t>Atibaia (SP)</t>
  </si>
  <si>
    <t>0,788</t>
  </si>
  <si>
    <t>78,8</t>
  </si>
  <si>
    <t>Rio Grande da Serra (SP)</t>
  </si>
  <si>
    <t>0,709</t>
  </si>
  <si>
    <t>70,9</t>
  </si>
  <si>
    <t>Jandira (SP)</t>
  </si>
  <si>
    <t>0,206</t>
  </si>
  <si>
    <t>20,6</t>
  </si>
  <si>
    <t>Votorantim (SP)</t>
  </si>
  <si>
    <t>0,553</t>
  </si>
  <si>
    <t>55,3</t>
  </si>
  <si>
    <t>Ribeirão Pires (SP)</t>
  </si>
  <si>
    <t>0,315</t>
  </si>
  <si>
    <t>31,5</t>
  </si>
  <si>
    <t>Hortolândia (SP)</t>
  </si>
  <si>
    <t>0,358</t>
  </si>
  <si>
    <t>35,8</t>
  </si>
  <si>
    <t>Santana de Parnaíba (SP)</t>
  </si>
  <si>
    <t>0,298</t>
  </si>
  <si>
    <t>29,8</t>
  </si>
  <si>
    <t>Mairiporã (SP)</t>
  </si>
  <si>
    <t>0,653</t>
  </si>
  <si>
    <t>65,3</t>
  </si>
  <si>
    <t>Campo Limpo Paulista (SP)</t>
  </si>
  <si>
    <t>0,981</t>
  </si>
  <si>
    <t>98,1</t>
  </si>
  <si>
    <t>Itu (SP)</t>
  </si>
  <si>
    <t>0,351</t>
  </si>
  <si>
    <t>35,1</t>
  </si>
  <si>
    <t>Marília (SP)</t>
  </si>
  <si>
    <t>0,758</t>
  </si>
  <si>
    <t>75,8</t>
  </si>
  <si>
    <t>Pirapora do Bom Jesus (SP)</t>
  </si>
  <si>
    <t>0,213</t>
  </si>
  <si>
    <t>21,3</t>
  </si>
  <si>
    <t>Tremembé (SP)</t>
  </si>
  <si>
    <t>1,64</t>
  </si>
  <si>
    <t>164</t>
  </si>
  <si>
    <t>São Roque (SP)</t>
  </si>
  <si>
    <t>0,475</t>
  </si>
  <si>
    <t>47,5</t>
  </si>
  <si>
    <t>Biritiba Mirim (SP)</t>
  </si>
  <si>
    <t>0,146</t>
  </si>
  <si>
    <t>14,6</t>
  </si>
  <si>
    <t>Poá (SP)</t>
  </si>
  <si>
    <t>0,272</t>
  </si>
  <si>
    <t>27,2</t>
  </si>
  <si>
    <t>Cosmópolis (SP)</t>
  </si>
  <si>
    <t>0,165</t>
  </si>
  <si>
    <t>16,5</t>
  </si>
  <si>
    <t>São Pedro (SP)</t>
  </si>
  <si>
    <t>0,209</t>
  </si>
  <si>
    <t>20,9</t>
  </si>
  <si>
    <t>Arujá (SP)</t>
  </si>
  <si>
    <t>0,338</t>
  </si>
  <si>
    <t>33,8</t>
  </si>
  <si>
    <t>Ibiúna (SP)</t>
  </si>
  <si>
    <t>0,198</t>
  </si>
  <si>
    <t>19,8</t>
  </si>
  <si>
    <t>Porto Ferreira (SP)</t>
  </si>
  <si>
    <t>0,169</t>
  </si>
  <si>
    <t>16,9</t>
  </si>
  <si>
    <t>Cruzeiro (SP)</t>
  </si>
  <si>
    <t>0,126</t>
  </si>
  <si>
    <t>12,6</t>
  </si>
  <si>
    <t>Lorena (SP)</t>
  </si>
  <si>
    <t>0,12</t>
  </si>
  <si>
    <t>12</t>
  </si>
  <si>
    <t>Guaratinguetá (SP)</t>
  </si>
  <si>
    <t>0,229</t>
  </si>
  <si>
    <t>22,9</t>
  </si>
  <si>
    <t>Santa Cruz do Rio Pardo (SP)</t>
  </si>
  <si>
    <t>0,181</t>
  </si>
  <si>
    <t>18,1</t>
  </si>
  <si>
    <t>Cabreúva (SP)</t>
  </si>
  <si>
    <t>0,113</t>
  </si>
  <si>
    <t>11,3</t>
  </si>
  <si>
    <t>Embu-Guaçu (SP)</t>
  </si>
  <si>
    <t>0,081</t>
  </si>
  <si>
    <t>8,1</t>
  </si>
  <si>
    <t>Bananal (SP)</t>
  </si>
  <si>
    <t>0,142</t>
  </si>
  <si>
    <t>14,2</t>
  </si>
  <si>
    <t>São Carlos (SP)</t>
  </si>
  <si>
    <t>0,17</t>
  </si>
  <si>
    <t>17</t>
  </si>
  <si>
    <t>Capivari (SP)</t>
  </si>
  <si>
    <t>0,186</t>
  </si>
  <si>
    <t>18,6</t>
  </si>
  <si>
    <t>Itirapina (SP)</t>
  </si>
  <si>
    <t>0,203</t>
  </si>
  <si>
    <t>20,3</t>
  </si>
  <si>
    <t>Botucatu (SP)</t>
  </si>
  <si>
    <t>0,116</t>
  </si>
  <si>
    <t>11,6</t>
  </si>
  <si>
    <t>Mairinque (SP)</t>
  </si>
  <si>
    <t>0,276</t>
  </si>
  <si>
    <t>27,6</t>
  </si>
  <si>
    <t>Itanhaém (SP)</t>
  </si>
  <si>
    <t>0,127</t>
  </si>
  <si>
    <t>12,7</t>
  </si>
  <si>
    <t>Rio Claro (SP)</t>
  </si>
  <si>
    <t>0,211</t>
  </si>
  <si>
    <t>21,1</t>
  </si>
  <si>
    <t>Americana (SP)</t>
  </si>
  <si>
    <t>0,075</t>
  </si>
  <si>
    <t>7,5</t>
  </si>
  <si>
    <t>Cordeirópolis (SP)</t>
  </si>
  <si>
    <t>0,048</t>
  </si>
  <si>
    <t>4,8</t>
  </si>
  <si>
    <t>Amparo (SP)</t>
  </si>
  <si>
    <t>0,191</t>
  </si>
  <si>
    <t>19,1</t>
  </si>
  <si>
    <t>Caçapava (SP)</t>
  </si>
  <si>
    <t>0,027</t>
  </si>
  <si>
    <t>2,7</t>
  </si>
  <si>
    <t>Salto (SP)</t>
  </si>
  <si>
    <t>0,012</t>
  </si>
  <si>
    <t>1,2</t>
  </si>
  <si>
    <t>Peruíbe (SP)</t>
  </si>
  <si>
    <t>0,032</t>
  </si>
  <si>
    <t>3,2</t>
  </si>
  <si>
    <t>Ibirarema (SP)</t>
  </si>
  <si>
    <t>Louveira (SP)</t>
  </si>
  <si>
    <t>0,011</t>
  </si>
  <si>
    <t>1,1</t>
  </si>
  <si>
    <t>Bragança Paulista (SP)</t>
  </si>
  <si>
    <t>0,019</t>
  </si>
  <si>
    <t>1,9</t>
  </si>
  <si>
    <t>Avaré (SP)</t>
  </si>
  <si>
    <t>0,055</t>
  </si>
  <si>
    <t>5,5</t>
  </si>
  <si>
    <t>Pederneiras (SP)</t>
  </si>
  <si>
    <t>0,396</t>
  </si>
  <si>
    <t>39,6</t>
  </si>
  <si>
    <t>Tabatinga (SP)</t>
  </si>
  <si>
    <t>0,014</t>
  </si>
  <si>
    <t>1,4</t>
  </si>
  <si>
    <t>Pindamonhangaba (SP)</t>
  </si>
  <si>
    <t>0,025</t>
  </si>
  <si>
    <t>2,5</t>
  </si>
  <si>
    <t>Presidente Epitácio (SP)</t>
  </si>
  <si>
    <t>0,071</t>
  </si>
  <si>
    <t>7,1</t>
  </si>
  <si>
    <t>Município</t>
  </si>
  <si>
    <t>EXPLICAÇÃO DAS SIGLAS E INDICADORES</t>
  </si>
  <si>
    <t>Sigla / Coluna</t>
  </si>
  <si>
    <t>Significado</t>
  </si>
  <si>
    <t>Explicação simples</t>
  </si>
  <si>
    <t>Código IBGE</t>
  </si>
  <si>
    <t>Código oficial utilizado para identificar o município.</t>
  </si>
  <si>
    <t>Nome da cidade ou município.</t>
  </si>
  <si>
    <t>Número de Favelas e Comunidades</t>
  </si>
  <si>
    <t>Quantidade de favelas e comunidades registradas no município.</t>
  </si>
  <si>
    <t>Quilômetros quadrados</t>
  </si>
  <si>
    <t>Área territorial do município, medida em quilômetros quadrados.</t>
  </si>
  <si>
    <t>Hectares</t>
  </si>
  <si>
    <t>Unidade de medida de área. Um hectare corresponde a 10.000 m².</t>
  </si>
  <si>
    <t>Habitantes por hectare</t>
  </si>
  <si>
    <t>Quantidade de habitantes em relação à área medida em hectares.</t>
  </si>
  <si>
    <t>População total</t>
  </si>
  <si>
    <t>Número total de habitantes do município.</t>
  </si>
  <si>
    <t>População branca</t>
  </si>
  <si>
    <t>Número de pessoas classificadas como brancas na base de dados.</t>
  </si>
  <si>
    <t>População preta</t>
  </si>
  <si>
    <t>Número de pessoas classificadas como pretas na base de dados.</t>
  </si>
  <si>
    <t>População amarela</t>
  </si>
  <si>
    <t>Número de pessoas classificadas como amarelas na base de dados.</t>
  </si>
  <si>
    <t>População parda</t>
  </si>
  <si>
    <t>Número de pessoas classificadas como pardas na base de dados.</t>
  </si>
  <si>
    <t>População indígena</t>
  </si>
  <si>
    <t>Número de pessoas classificadas como indígenas na base de dados.</t>
  </si>
  <si>
    <t>População sem declaração</t>
  </si>
  <si>
    <t>Número de pessoas sem informação/declaração nessa classificação.</t>
  </si>
  <si>
    <t>Domicílios total</t>
  </si>
  <si>
    <t>Quantidade total de domicílios registrados.</t>
  </si>
  <si>
    <t>Domicílios particulares</t>
  </si>
  <si>
    <t>Quantidade de domicílios particulares.</t>
  </si>
  <si>
    <t>Domicílios particulares ocupados</t>
  </si>
  <si>
    <t>Domicílios particulares que possuem moradores.</t>
  </si>
  <si>
    <t>Domicílios particulares permanentes não ocupados</t>
  </si>
  <si>
    <t>Domicílios particulares permanentes que não estão ocupados.</t>
  </si>
  <si>
    <t>Domicílios particulares permanentes não ocupados de uso ocasional</t>
  </si>
  <si>
    <t>Imóveis utilizados ocasionalmente, como casas de temporada.</t>
  </si>
  <si>
    <t>Domicílios particulares improvisados</t>
  </si>
  <si>
    <t>Moradias classificadas como improvisadas na base de dados.</t>
  </si>
  <si>
    <t>Domicílios coletivos</t>
  </si>
  <si>
    <t>Locais de residência coletiva, nos quais as pessoas vivem sob organização comum.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</si>
</sst>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color rgb="FFFFFFFF"/>
      <name val="Calibri"/>
    </font>
    <font>
      <i/>
      <sz val="11"/>
      <color rgb="FF7F7F7F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2F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7" fillId="0" borderId="0" xfId="0" applyFont="1"/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4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E1F2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municípios por população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Aux_População!$B$1</c:f>
              <c:strCache>
                <c:ptCount val="1"/>
                <c:pt idx="0">
                  <c:v>p_total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Aux_População!$A$2:$A$11</c:f>
              <c:strCache>
                <c:ptCount val="10"/>
                <c:pt idx="0">
                  <c:v>São Paulo (SP)</c:v>
                </c:pt>
                <c:pt idx="1">
                  <c:v>Guarulhos (SP)</c:v>
                </c:pt>
                <c:pt idx="2">
                  <c:v>São Bernardo do Campo (SP)</c:v>
                </c:pt>
                <c:pt idx="3">
                  <c:v>Campinas (SP)</c:v>
                </c:pt>
                <c:pt idx="4">
                  <c:v>Mauá (SP)</c:v>
                </c:pt>
                <c:pt idx="5">
                  <c:v>Guarujá (SP)</c:v>
                </c:pt>
                <c:pt idx="6">
                  <c:v>Santo André (SP)</c:v>
                </c:pt>
                <c:pt idx="7">
                  <c:v>Osasco (SP)</c:v>
                </c:pt>
                <c:pt idx="8">
                  <c:v>Itaquaquecetuba (SP)</c:v>
                </c:pt>
                <c:pt idx="9">
                  <c:v>Diadema (SP)</c:v>
                </c:pt>
              </c:strCache>
            </c:strRef>
          </c:cat>
          <c:val>
            <c:numRef>
              <c:f>Aux_População!$B$2:$B$11</c:f>
              <c:numCache>
                <c:formatCode>General</c:formatCode>
                <c:ptCount val="10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3-4E64-BF21-2D357EF5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População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Município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municípios por densidade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Aux_Densidade!$B$1</c:f>
              <c:strCache>
                <c:ptCount val="1"/>
                <c:pt idx="0">
                  <c:v>hab/ha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Aux_Densidade!$A$2:$A$11</c:f>
              <c:strCache>
                <c:ptCount val="10"/>
                <c:pt idx="0">
                  <c:v>Diadema (SP)</c:v>
                </c:pt>
                <c:pt idx="1">
                  <c:v>Osasco (SP)</c:v>
                </c:pt>
                <c:pt idx="2">
                  <c:v>Taboão da Serra (SP)</c:v>
                </c:pt>
                <c:pt idx="3">
                  <c:v>Barueri (SP)</c:v>
                </c:pt>
                <c:pt idx="4">
                  <c:v>Carapicuíba (SP)</c:v>
                </c:pt>
                <c:pt idx="5">
                  <c:v>São Bernardo do Campo (SP)</c:v>
                </c:pt>
                <c:pt idx="6">
                  <c:v>Santo André (SP)</c:v>
                </c:pt>
                <c:pt idx="7">
                  <c:v>Salto (SP)</c:v>
                </c:pt>
                <c:pt idx="8">
                  <c:v>São Paulo (SP)</c:v>
                </c:pt>
                <c:pt idx="9">
                  <c:v>Jandira (SP)</c:v>
                </c:pt>
              </c:strCache>
            </c:strRef>
          </c:cat>
          <c:val>
            <c:numRef>
              <c:f>Aux_Densidade!$B$2:$B$11</c:f>
              <c:numCache>
                <c:formatCode>General</c:formatCode>
                <c:ptCount val="10"/>
                <c:pt idx="0">
                  <c:v>403.9</c:v>
                </c:pt>
                <c:pt idx="1">
                  <c:v>336.4</c:v>
                </c:pt>
                <c:pt idx="2">
                  <c:v>304.60000000000002</c:v>
                </c:pt>
                <c:pt idx="3">
                  <c:v>300.60000000000002</c:v>
                </c:pt>
                <c:pt idx="4">
                  <c:v>299.5</c:v>
                </c:pt>
                <c:pt idx="5">
                  <c:v>299</c:v>
                </c:pt>
                <c:pt idx="6">
                  <c:v>291.5</c:v>
                </c:pt>
                <c:pt idx="7">
                  <c:v>279.2</c:v>
                </c:pt>
                <c:pt idx="8">
                  <c:v>271.60000000000002</c:v>
                </c:pt>
                <c:pt idx="9">
                  <c:v>241.5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A-455B-8607-E83740224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Densidade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Município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Relação entre FC e população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Municípios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Aux_Correlação!$A$2:$A$93</c:f>
              <c:numCache>
                <c:formatCode>General</c:formatCode>
                <c:ptCount val="92"/>
                <c:pt idx="0">
                  <c:v>1359</c:v>
                </c:pt>
                <c:pt idx="1">
                  <c:v>170</c:v>
                </c:pt>
                <c:pt idx="2">
                  <c:v>94</c:v>
                </c:pt>
                <c:pt idx="3">
                  <c:v>118</c:v>
                </c:pt>
                <c:pt idx="4">
                  <c:v>60</c:v>
                </c:pt>
                <c:pt idx="5">
                  <c:v>55</c:v>
                </c:pt>
                <c:pt idx="6">
                  <c:v>76</c:v>
                </c:pt>
                <c:pt idx="7">
                  <c:v>84</c:v>
                </c:pt>
                <c:pt idx="8">
                  <c:v>69</c:v>
                </c:pt>
                <c:pt idx="9">
                  <c:v>109</c:v>
                </c:pt>
                <c:pt idx="10">
                  <c:v>38</c:v>
                </c:pt>
                <c:pt idx="11">
                  <c:v>66</c:v>
                </c:pt>
                <c:pt idx="12">
                  <c:v>59</c:v>
                </c:pt>
                <c:pt idx="13">
                  <c:v>46</c:v>
                </c:pt>
                <c:pt idx="14">
                  <c:v>29</c:v>
                </c:pt>
                <c:pt idx="15">
                  <c:v>12</c:v>
                </c:pt>
                <c:pt idx="16">
                  <c:v>38</c:v>
                </c:pt>
                <c:pt idx="17">
                  <c:v>23</c:v>
                </c:pt>
                <c:pt idx="18">
                  <c:v>47</c:v>
                </c:pt>
                <c:pt idx="19">
                  <c:v>36</c:v>
                </c:pt>
                <c:pt idx="20">
                  <c:v>12</c:v>
                </c:pt>
                <c:pt idx="21">
                  <c:v>21</c:v>
                </c:pt>
                <c:pt idx="22">
                  <c:v>9</c:v>
                </c:pt>
                <c:pt idx="23">
                  <c:v>16</c:v>
                </c:pt>
                <c:pt idx="24">
                  <c:v>24</c:v>
                </c:pt>
                <c:pt idx="25">
                  <c:v>18</c:v>
                </c:pt>
                <c:pt idx="26">
                  <c:v>3</c:v>
                </c:pt>
                <c:pt idx="27">
                  <c:v>25</c:v>
                </c:pt>
                <c:pt idx="28">
                  <c:v>20</c:v>
                </c:pt>
                <c:pt idx="29">
                  <c:v>20</c:v>
                </c:pt>
                <c:pt idx="30">
                  <c:v>22</c:v>
                </c:pt>
                <c:pt idx="31">
                  <c:v>13</c:v>
                </c:pt>
                <c:pt idx="32">
                  <c:v>19</c:v>
                </c:pt>
                <c:pt idx="33">
                  <c:v>21</c:v>
                </c:pt>
                <c:pt idx="34">
                  <c:v>16</c:v>
                </c:pt>
                <c:pt idx="35">
                  <c:v>11</c:v>
                </c:pt>
                <c:pt idx="36">
                  <c:v>14</c:v>
                </c:pt>
                <c:pt idx="37">
                  <c:v>10</c:v>
                </c:pt>
                <c:pt idx="38">
                  <c:v>13</c:v>
                </c:pt>
                <c:pt idx="39">
                  <c:v>12</c:v>
                </c:pt>
                <c:pt idx="40">
                  <c:v>10</c:v>
                </c:pt>
                <c:pt idx="41">
                  <c:v>15</c:v>
                </c:pt>
                <c:pt idx="42">
                  <c:v>12</c:v>
                </c:pt>
                <c:pt idx="43">
                  <c:v>11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4</c:v>
                </c:pt>
                <c:pt idx="48">
                  <c:v>7</c:v>
                </c:pt>
                <c:pt idx="49">
                  <c:v>8</c:v>
                </c:pt>
                <c:pt idx="50">
                  <c:v>11</c:v>
                </c:pt>
                <c:pt idx="51">
                  <c:v>5</c:v>
                </c:pt>
                <c:pt idx="52">
                  <c:v>6</c:v>
                </c:pt>
                <c:pt idx="53">
                  <c:v>13</c:v>
                </c:pt>
                <c:pt idx="54">
                  <c:v>4</c:v>
                </c:pt>
                <c:pt idx="55">
                  <c:v>6</c:v>
                </c:pt>
                <c:pt idx="56">
                  <c:v>7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xVal>
          <c:yVal>
            <c:numRef>
              <c:f>Aux_Correlação!$B$2:$B$93</c:f>
              <c:numCache>
                <c:formatCode>General</c:formatCode>
                <c:ptCount val="92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  <c:pt idx="10">
                  <c:v>85652</c:v>
                </c:pt>
                <c:pt idx="11">
                  <c:v>60562</c:v>
                </c:pt>
                <c:pt idx="12">
                  <c:v>53297</c:v>
                </c:pt>
                <c:pt idx="13">
                  <c:v>46262</c:v>
                </c:pt>
                <c:pt idx="14">
                  <c:v>42031</c:v>
                </c:pt>
                <c:pt idx="15">
                  <c:v>36724</c:v>
                </c:pt>
                <c:pt idx="16">
                  <c:v>30629</c:v>
                </c:pt>
                <c:pt idx="17">
                  <c:v>24619</c:v>
                </c:pt>
                <c:pt idx="18">
                  <c:v>23781</c:v>
                </c:pt>
                <c:pt idx="19">
                  <c:v>22646</c:v>
                </c:pt>
                <c:pt idx="20">
                  <c:v>21315</c:v>
                </c:pt>
                <c:pt idx="21">
                  <c:v>21126</c:v>
                </c:pt>
                <c:pt idx="22">
                  <c:v>17999</c:v>
                </c:pt>
                <c:pt idx="23">
                  <c:v>17634</c:v>
                </c:pt>
                <c:pt idx="24">
                  <c:v>16400</c:v>
                </c:pt>
                <c:pt idx="25">
                  <c:v>16382</c:v>
                </c:pt>
                <c:pt idx="26">
                  <c:v>15411</c:v>
                </c:pt>
                <c:pt idx="27">
                  <c:v>14726</c:v>
                </c:pt>
                <c:pt idx="28">
                  <c:v>14140</c:v>
                </c:pt>
                <c:pt idx="29">
                  <c:v>13911</c:v>
                </c:pt>
                <c:pt idx="30">
                  <c:v>12433</c:v>
                </c:pt>
                <c:pt idx="31">
                  <c:v>11138</c:v>
                </c:pt>
                <c:pt idx="32">
                  <c:v>11123</c:v>
                </c:pt>
                <c:pt idx="33">
                  <c:v>11081</c:v>
                </c:pt>
                <c:pt idx="34">
                  <c:v>10863</c:v>
                </c:pt>
                <c:pt idx="35">
                  <c:v>9063</c:v>
                </c:pt>
                <c:pt idx="36">
                  <c:v>8717</c:v>
                </c:pt>
                <c:pt idx="37">
                  <c:v>6850</c:v>
                </c:pt>
                <c:pt idx="38">
                  <c:v>6833</c:v>
                </c:pt>
                <c:pt idx="39">
                  <c:v>6497</c:v>
                </c:pt>
                <c:pt idx="40">
                  <c:v>6365</c:v>
                </c:pt>
                <c:pt idx="41">
                  <c:v>6310</c:v>
                </c:pt>
                <c:pt idx="42">
                  <c:v>5601</c:v>
                </c:pt>
                <c:pt idx="43">
                  <c:v>5370</c:v>
                </c:pt>
                <c:pt idx="44">
                  <c:v>5195</c:v>
                </c:pt>
                <c:pt idx="45">
                  <c:v>4974</c:v>
                </c:pt>
                <c:pt idx="46">
                  <c:v>4919</c:v>
                </c:pt>
                <c:pt idx="47">
                  <c:v>4678</c:v>
                </c:pt>
                <c:pt idx="48">
                  <c:v>4223</c:v>
                </c:pt>
                <c:pt idx="49">
                  <c:v>3793</c:v>
                </c:pt>
                <c:pt idx="50">
                  <c:v>3475</c:v>
                </c:pt>
                <c:pt idx="51">
                  <c:v>3350</c:v>
                </c:pt>
                <c:pt idx="52">
                  <c:v>3245</c:v>
                </c:pt>
                <c:pt idx="53">
                  <c:v>3190</c:v>
                </c:pt>
                <c:pt idx="54">
                  <c:v>2978</c:v>
                </c:pt>
                <c:pt idx="55">
                  <c:v>2788</c:v>
                </c:pt>
                <c:pt idx="56">
                  <c:v>2521</c:v>
                </c:pt>
                <c:pt idx="57">
                  <c:v>2400</c:v>
                </c:pt>
                <c:pt idx="58">
                  <c:v>2040</c:v>
                </c:pt>
                <c:pt idx="59">
                  <c:v>1652</c:v>
                </c:pt>
                <c:pt idx="60">
                  <c:v>1557</c:v>
                </c:pt>
                <c:pt idx="61">
                  <c:v>1368</c:v>
                </c:pt>
                <c:pt idx="62">
                  <c:v>1252</c:v>
                </c:pt>
                <c:pt idx="63">
                  <c:v>1234</c:v>
                </c:pt>
                <c:pt idx="64">
                  <c:v>1109</c:v>
                </c:pt>
                <c:pt idx="65">
                  <c:v>1025</c:v>
                </c:pt>
                <c:pt idx="66">
                  <c:v>1011</c:v>
                </c:pt>
                <c:pt idx="67">
                  <c:v>995</c:v>
                </c:pt>
                <c:pt idx="68">
                  <c:v>950</c:v>
                </c:pt>
                <c:pt idx="69">
                  <c:v>902</c:v>
                </c:pt>
                <c:pt idx="70">
                  <c:v>850</c:v>
                </c:pt>
                <c:pt idx="71">
                  <c:v>798</c:v>
                </c:pt>
                <c:pt idx="72">
                  <c:v>757</c:v>
                </c:pt>
                <c:pt idx="73">
                  <c:v>757</c:v>
                </c:pt>
                <c:pt idx="74">
                  <c:v>602</c:v>
                </c:pt>
                <c:pt idx="75">
                  <c:v>572</c:v>
                </c:pt>
                <c:pt idx="76">
                  <c:v>554</c:v>
                </c:pt>
                <c:pt idx="77">
                  <c:v>546</c:v>
                </c:pt>
                <c:pt idx="78">
                  <c:v>481</c:v>
                </c:pt>
                <c:pt idx="79">
                  <c:v>359</c:v>
                </c:pt>
                <c:pt idx="80">
                  <c:v>359</c:v>
                </c:pt>
                <c:pt idx="81">
                  <c:v>343</c:v>
                </c:pt>
                <c:pt idx="82">
                  <c:v>335</c:v>
                </c:pt>
                <c:pt idx="83">
                  <c:v>277</c:v>
                </c:pt>
                <c:pt idx="84">
                  <c:v>268</c:v>
                </c:pt>
                <c:pt idx="85">
                  <c:v>246</c:v>
                </c:pt>
                <c:pt idx="86">
                  <c:v>223</c:v>
                </c:pt>
                <c:pt idx="87">
                  <c:v>170</c:v>
                </c:pt>
                <c:pt idx="88">
                  <c:v>158</c:v>
                </c:pt>
                <c:pt idx="89">
                  <c:v>154</c:v>
                </c:pt>
                <c:pt idx="90">
                  <c:v>148</c:v>
                </c:pt>
                <c:pt idx="91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71-4B69-A22B-1C55F9D8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População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19</xdr:col>
      <xdr:colOff>0</xdr:colOff>
      <xdr:row>2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816672-0B0D-465D-9531-68FB5C01F400}" name="Tabela7" displayName="Tabela7" ref="A1:T1048576" totalsRowShown="0" headerRowDxfId="0" headerRowBorderDxfId="1">
  <autoFilter ref="A1:T1048576" xr:uid="{40816672-0B0D-465D-9531-68FB5C01F400}"/>
  <tableColumns count="20">
    <tableColumn id="1" xr3:uid="{D04AE36D-AB0F-4739-A82E-262C1129EDB1}" name="cod_ibge"/>
    <tableColumn id="2" xr3:uid="{CD09C32F-4AA2-4BF7-A8F2-204D332ADBA8}" name="municipio"/>
    <tableColumn id="3" xr3:uid="{6C2E513A-EE64-4D96-947C-7CC0D743FEDF}" name="num_FC"/>
    <tableColumn id="4" xr3:uid="{52C5D414-2E84-4C47-B3F9-57551B7FA2C4}" name="km2"/>
    <tableColumn id="5" xr3:uid="{18C02720-2CF3-4841-B994-3AE2F64AB9BA}" name="hectare"/>
    <tableColumn id="6" xr3:uid="{12821E21-1FC1-47D2-9A54-8C4272CA7CD3}" name="hab/ha"/>
    <tableColumn id="7" xr3:uid="{F6DE1452-E5B6-40B0-A4A1-B9F87FA74405}" name="p_total"/>
    <tableColumn id="8" xr3:uid="{805FF6FA-E3AF-45D2-9822-2485FD08EEE3}" name="p_branca"/>
    <tableColumn id="9" xr3:uid="{0FB5492C-BA8D-49F3-8250-AA80E4E61059}" name="p_preta"/>
    <tableColumn id="10" xr3:uid="{BE4C0C85-7E3C-4144-98DA-A2B96B7E74A4}" name="p_amarela"/>
    <tableColumn id="11" xr3:uid="{7C0B1D73-8956-49C5-AE0C-6D6AD00C1E89}" name="p_parda"/>
    <tableColumn id="12" xr3:uid="{AA6FB1EB-3CB1-4688-A2E3-D1A875DD667A}" name="p_indig"/>
    <tableColumn id="13" xr3:uid="{83F5FFFD-32FA-4405-A2A9-6C5BB82192F1}" name="p_semd"/>
    <tableColumn id="14" xr3:uid="{E8F1C677-81E0-4795-9028-F29045765C88}" name="d_total"/>
    <tableColumn id="15" xr3:uid="{94EBCEFB-6586-4555-94EF-4002D6F89628}" name="DP"/>
    <tableColumn id="16" xr3:uid="{6CF5E7DB-2885-489C-BCF4-1AF96A8F3278}" name="DPPO"/>
    <tableColumn id="17" xr3:uid="{8789DF45-04B5-425F-94E5-7819CD12CEAF}" name="DPPNOV"/>
    <tableColumn id="18" xr3:uid="{526C29F9-8972-4A99-8765-A430D6C4A1A7}" name="DPPNOUO"/>
    <tableColumn id="19" xr3:uid="{DA0D6469-14AF-4201-965C-5F5CE4F97ABA}" name="DPI"/>
    <tableColumn id="20" xr3:uid="{47967627-12A9-4333-9868-663D7A16B4E2}" name="D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C1048576" totalsRowShown="0">
  <autoFilter ref="A1:C1048576" xr:uid="{00000000-0009-0000-0100-000002000000}"/>
  <tableColumns count="3">
    <tableColumn id="1" xr3:uid="{00000000-0010-0000-0100-000001000000}" name="Coluna1"/>
    <tableColumn id="2" xr3:uid="{00000000-0010-0000-0100-000002000000}" name="Coluna2"/>
    <tableColumn id="3" xr3:uid="{00000000-0010-0000-0100-000003000000}" name="Coluna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B1048576" totalsRowShown="0" headerRowDxfId="10" headerRowBorderDxfId="9" tableBorderDxfId="8">
  <autoFilter ref="A1:B1048576" xr:uid="{00000000-0009-0000-0100-000003000000}"/>
  <tableColumns count="2">
    <tableColumn id="1" xr3:uid="{00000000-0010-0000-0200-000001000000}" name="municipio"/>
    <tableColumn id="2" xr3:uid="{00000000-0010-0000-0200-000002000000}" name="p_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B1048576" totalsRowShown="0" headerRowDxfId="7" headerRowBorderDxfId="6" tableBorderDxfId="5">
  <autoFilter ref="A1:B1048576" xr:uid="{00000000-0009-0000-0100-000004000000}"/>
  <tableColumns count="2">
    <tableColumn id="1" xr3:uid="{00000000-0010-0000-0300-000001000000}" name="municipio"/>
    <tableColumn id="2" xr3:uid="{00000000-0010-0000-0300-000002000000}" name="hab/h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1:B1048576" totalsRowShown="0" headerRowDxfId="4" headerRowBorderDxfId="3" tableBorderDxfId="2">
  <autoFilter ref="A1:B1048576" xr:uid="{00000000-0009-0000-0100-000005000000}"/>
  <tableColumns count="2">
    <tableColumn id="1" xr3:uid="{00000000-0010-0000-0400-000001000000}" name="num_FC"/>
    <tableColumn id="2" xr3:uid="{00000000-0010-0000-0400-000002000000}" name="p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showGridLines="0" tabSelected="1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1" max="1" width="11.140625" customWidth="1"/>
    <col min="2" max="2" width="24" customWidth="1"/>
    <col min="3" max="3" width="10.28515625" customWidth="1"/>
    <col min="4" max="7" width="10" customWidth="1"/>
    <col min="8" max="8" width="11.140625" customWidth="1"/>
    <col min="9" max="9" width="10" customWidth="1"/>
    <col min="10" max="10" width="12.42578125" customWidth="1"/>
    <col min="11" max="11" width="10.28515625" customWidth="1"/>
    <col min="12" max="12" width="10" customWidth="1"/>
    <col min="13" max="13" width="10.140625" customWidth="1"/>
    <col min="14" max="16" width="10" customWidth="1"/>
    <col min="17" max="17" width="10.85546875" customWidth="1"/>
    <col min="18" max="18" width="12.42578125" customWidth="1"/>
    <col min="19" max="20" width="10" customWidth="1"/>
  </cols>
  <sheetData>
    <row r="1" spans="1:20" ht="32.1" customHeight="1" x14ac:dyDescent="0.2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</row>
    <row r="2" spans="1:20" x14ac:dyDescent="0.25">
      <c r="A2">
        <v>3550308</v>
      </c>
      <c r="B2" t="s">
        <v>34</v>
      </c>
      <c r="C2">
        <v>1359</v>
      </c>
      <c r="D2" t="s">
        <v>35</v>
      </c>
      <c r="E2" t="s">
        <v>36</v>
      </c>
      <c r="F2">
        <v>271.60000000000002</v>
      </c>
      <c r="G2">
        <v>1728265</v>
      </c>
      <c r="H2">
        <v>577027</v>
      </c>
      <c r="I2">
        <v>247842</v>
      </c>
      <c r="J2">
        <v>1464</v>
      </c>
      <c r="K2">
        <v>899623</v>
      </c>
      <c r="L2">
        <v>2161</v>
      </c>
      <c r="M2">
        <v>148</v>
      </c>
      <c r="N2">
        <v>653891</v>
      </c>
      <c r="O2">
        <v>653859</v>
      </c>
      <c r="P2">
        <v>587061</v>
      </c>
      <c r="Q2">
        <v>56709</v>
      </c>
      <c r="R2">
        <v>6008</v>
      </c>
      <c r="S2">
        <v>4081</v>
      </c>
      <c r="T2">
        <v>32</v>
      </c>
    </row>
    <row r="3" spans="1:20" x14ac:dyDescent="0.25">
      <c r="A3">
        <v>3518800</v>
      </c>
      <c r="B3" t="s">
        <v>37</v>
      </c>
      <c r="C3">
        <v>170</v>
      </c>
      <c r="D3" t="s">
        <v>38</v>
      </c>
      <c r="E3" t="s">
        <v>39</v>
      </c>
      <c r="F3">
        <v>192.1</v>
      </c>
      <c r="G3">
        <v>215969</v>
      </c>
      <c r="H3">
        <v>71565</v>
      </c>
      <c r="I3">
        <v>27286</v>
      </c>
      <c r="J3">
        <v>322</v>
      </c>
      <c r="K3">
        <v>116522</v>
      </c>
      <c r="L3">
        <v>265</v>
      </c>
      <c r="M3">
        <v>9</v>
      </c>
      <c r="N3">
        <v>76471</v>
      </c>
      <c r="O3">
        <v>76467</v>
      </c>
      <c r="P3">
        <v>69853</v>
      </c>
      <c r="Q3">
        <v>5514</v>
      </c>
      <c r="R3">
        <v>924</v>
      </c>
      <c r="S3">
        <v>176</v>
      </c>
      <c r="T3">
        <v>4</v>
      </c>
    </row>
    <row r="4" spans="1:20" x14ac:dyDescent="0.25">
      <c r="A4">
        <v>3548708</v>
      </c>
      <c r="B4" t="s">
        <v>40</v>
      </c>
      <c r="C4">
        <v>94</v>
      </c>
      <c r="D4" t="s">
        <v>41</v>
      </c>
      <c r="E4" t="s">
        <v>42</v>
      </c>
      <c r="F4">
        <v>299</v>
      </c>
      <c r="G4">
        <v>158274</v>
      </c>
      <c r="H4">
        <v>61810</v>
      </c>
      <c r="I4">
        <v>17151</v>
      </c>
      <c r="J4">
        <v>159</v>
      </c>
      <c r="K4">
        <v>78933</v>
      </c>
      <c r="L4">
        <v>219</v>
      </c>
      <c r="M4">
        <v>2</v>
      </c>
      <c r="N4">
        <v>59234</v>
      </c>
      <c r="O4">
        <v>59231</v>
      </c>
      <c r="P4">
        <v>55240</v>
      </c>
      <c r="Q4">
        <v>3604</v>
      </c>
      <c r="R4">
        <v>366</v>
      </c>
      <c r="S4">
        <v>21</v>
      </c>
      <c r="T4">
        <v>3</v>
      </c>
    </row>
    <row r="5" spans="1:20" x14ac:dyDescent="0.25">
      <c r="A5">
        <v>3509502</v>
      </c>
      <c r="B5" t="s">
        <v>43</v>
      </c>
      <c r="C5">
        <v>118</v>
      </c>
      <c r="D5" t="s">
        <v>44</v>
      </c>
      <c r="E5" t="s">
        <v>45</v>
      </c>
      <c r="F5">
        <v>100.4</v>
      </c>
      <c r="G5">
        <v>140784</v>
      </c>
      <c r="H5">
        <v>46576</v>
      </c>
      <c r="I5">
        <v>18788</v>
      </c>
      <c r="J5">
        <v>132</v>
      </c>
      <c r="K5">
        <v>75059</v>
      </c>
      <c r="L5">
        <v>229</v>
      </c>
      <c r="N5">
        <v>49646</v>
      </c>
      <c r="O5">
        <v>49635</v>
      </c>
      <c r="P5">
        <v>45629</v>
      </c>
      <c r="Q5">
        <v>3205</v>
      </c>
      <c r="R5">
        <v>694</v>
      </c>
      <c r="S5">
        <v>107</v>
      </c>
      <c r="T5">
        <v>11</v>
      </c>
    </row>
    <row r="6" spans="1:20" x14ac:dyDescent="0.25">
      <c r="A6">
        <v>3529401</v>
      </c>
      <c r="B6" t="s">
        <v>46</v>
      </c>
      <c r="C6">
        <v>60</v>
      </c>
      <c r="D6" t="s">
        <v>47</v>
      </c>
      <c r="E6" t="s">
        <v>48</v>
      </c>
      <c r="F6">
        <v>196.4</v>
      </c>
      <c r="G6">
        <v>115251</v>
      </c>
      <c r="H6">
        <v>43495</v>
      </c>
      <c r="I6">
        <v>13103</v>
      </c>
      <c r="J6">
        <v>95</v>
      </c>
      <c r="K6">
        <v>58441</v>
      </c>
      <c r="L6">
        <v>116</v>
      </c>
      <c r="M6">
        <v>1</v>
      </c>
      <c r="N6">
        <v>44161</v>
      </c>
      <c r="O6">
        <v>44160</v>
      </c>
      <c r="P6">
        <v>40127</v>
      </c>
      <c r="Q6">
        <v>3749</v>
      </c>
      <c r="R6">
        <v>226</v>
      </c>
      <c r="S6">
        <v>58</v>
      </c>
      <c r="T6">
        <v>1</v>
      </c>
    </row>
    <row r="7" spans="1:20" x14ac:dyDescent="0.25">
      <c r="A7">
        <v>3518701</v>
      </c>
      <c r="B7" t="s">
        <v>49</v>
      </c>
      <c r="C7">
        <v>55</v>
      </c>
      <c r="D7" t="s">
        <v>50</v>
      </c>
      <c r="E7" t="s">
        <v>51</v>
      </c>
      <c r="F7">
        <v>172.7</v>
      </c>
      <c r="G7">
        <v>106010</v>
      </c>
      <c r="H7">
        <v>33936</v>
      </c>
      <c r="I7">
        <v>12036</v>
      </c>
      <c r="J7">
        <v>130</v>
      </c>
      <c r="K7">
        <v>59709</v>
      </c>
      <c r="L7">
        <v>194</v>
      </c>
      <c r="M7">
        <v>5</v>
      </c>
      <c r="N7">
        <v>39413</v>
      </c>
      <c r="O7">
        <v>39403</v>
      </c>
      <c r="P7">
        <v>34443</v>
      </c>
      <c r="Q7">
        <v>3508</v>
      </c>
      <c r="R7">
        <v>1349</v>
      </c>
      <c r="S7">
        <v>103</v>
      </c>
      <c r="T7">
        <v>10</v>
      </c>
    </row>
    <row r="8" spans="1:20" x14ac:dyDescent="0.25">
      <c r="A8">
        <v>3547809</v>
      </c>
      <c r="B8" t="s">
        <v>52</v>
      </c>
      <c r="C8">
        <v>76</v>
      </c>
      <c r="D8" t="s">
        <v>53</v>
      </c>
      <c r="E8" t="s">
        <v>54</v>
      </c>
      <c r="F8">
        <v>291.5</v>
      </c>
      <c r="G8">
        <v>99187</v>
      </c>
      <c r="H8">
        <v>37421</v>
      </c>
      <c r="I8">
        <v>11904</v>
      </c>
      <c r="J8">
        <v>66</v>
      </c>
      <c r="K8">
        <v>49678</v>
      </c>
      <c r="L8">
        <v>104</v>
      </c>
      <c r="M8">
        <v>14</v>
      </c>
      <c r="N8">
        <v>37433</v>
      </c>
      <c r="O8">
        <v>37431</v>
      </c>
      <c r="P8">
        <v>33905</v>
      </c>
      <c r="Q8">
        <v>3000</v>
      </c>
      <c r="R8">
        <v>479</v>
      </c>
      <c r="S8">
        <v>47</v>
      </c>
      <c r="T8">
        <v>2</v>
      </c>
    </row>
    <row r="9" spans="1:20" x14ac:dyDescent="0.25">
      <c r="A9">
        <v>3534401</v>
      </c>
      <c r="B9" t="s">
        <v>55</v>
      </c>
      <c r="C9">
        <v>84</v>
      </c>
      <c r="D9" t="s">
        <v>56</v>
      </c>
      <c r="E9" t="s">
        <v>57</v>
      </c>
      <c r="F9">
        <v>336.4</v>
      </c>
      <c r="G9">
        <v>98207</v>
      </c>
      <c r="H9">
        <v>33794</v>
      </c>
      <c r="I9">
        <v>11901</v>
      </c>
      <c r="J9">
        <v>61</v>
      </c>
      <c r="K9">
        <v>52351</v>
      </c>
      <c r="L9">
        <v>90</v>
      </c>
      <c r="M9">
        <v>10</v>
      </c>
      <c r="N9">
        <v>33927</v>
      </c>
      <c r="O9">
        <v>33923</v>
      </c>
      <c r="P9">
        <v>31491</v>
      </c>
      <c r="Q9">
        <v>1623</v>
      </c>
      <c r="R9">
        <v>241</v>
      </c>
      <c r="S9">
        <v>568</v>
      </c>
      <c r="T9">
        <v>4</v>
      </c>
    </row>
    <row r="10" spans="1:20" x14ac:dyDescent="0.25">
      <c r="A10">
        <v>3523107</v>
      </c>
      <c r="B10" t="s">
        <v>58</v>
      </c>
      <c r="C10">
        <v>69</v>
      </c>
      <c r="D10" t="s">
        <v>59</v>
      </c>
      <c r="E10" t="s">
        <v>60</v>
      </c>
      <c r="F10">
        <v>128.69999999999999</v>
      </c>
      <c r="G10">
        <v>91317</v>
      </c>
      <c r="H10">
        <v>31211</v>
      </c>
      <c r="I10">
        <v>10239</v>
      </c>
      <c r="J10">
        <v>115</v>
      </c>
      <c r="K10">
        <v>49587</v>
      </c>
      <c r="L10">
        <v>165</v>
      </c>
      <c r="N10">
        <v>32846</v>
      </c>
      <c r="O10">
        <v>32845</v>
      </c>
      <c r="P10">
        <v>29208</v>
      </c>
      <c r="Q10">
        <v>3152</v>
      </c>
      <c r="R10">
        <v>464</v>
      </c>
      <c r="S10">
        <v>21</v>
      </c>
      <c r="T10">
        <v>1</v>
      </c>
    </row>
    <row r="11" spans="1:20" x14ac:dyDescent="0.25">
      <c r="A11">
        <v>3513801</v>
      </c>
      <c r="B11" t="s">
        <v>61</v>
      </c>
      <c r="C11">
        <v>109</v>
      </c>
      <c r="D11" t="s">
        <v>62</v>
      </c>
      <c r="E11" t="s">
        <v>63</v>
      </c>
      <c r="F11">
        <v>403.9</v>
      </c>
      <c r="G11">
        <v>87887</v>
      </c>
      <c r="H11">
        <v>33814</v>
      </c>
      <c r="I11">
        <v>9612</v>
      </c>
      <c r="J11">
        <v>85</v>
      </c>
      <c r="K11">
        <v>44331</v>
      </c>
      <c r="L11">
        <v>43</v>
      </c>
      <c r="M11">
        <v>2</v>
      </c>
      <c r="N11">
        <v>33125</v>
      </c>
      <c r="O11">
        <v>33124</v>
      </c>
      <c r="P11">
        <v>30912</v>
      </c>
      <c r="Q11">
        <v>2051</v>
      </c>
      <c r="R11">
        <v>154</v>
      </c>
      <c r="S11">
        <v>7</v>
      </c>
      <c r="T11">
        <v>1</v>
      </c>
    </row>
    <row r="12" spans="1:20" x14ac:dyDescent="0.25">
      <c r="A12">
        <v>3551009</v>
      </c>
      <c r="B12" t="s">
        <v>64</v>
      </c>
      <c r="C12">
        <v>38</v>
      </c>
      <c r="D12" t="s">
        <v>65</v>
      </c>
      <c r="E12" t="s">
        <v>66</v>
      </c>
      <c r="F12">
        <v>130.19999999999999</v>
      </c>
      <c r="G12">
        <v>85652</v>
      </c>
      <c r="H12">
        <v>28535</v>
      </c>
      <c r="I12">
        <v>11987</v>
      </c>
      <c r="J12">
        <v>70</v>
      </c>
      <c r="K12">
        <v>44966</v>
      </c>
      <c r="L12">
        <v>91</v>
      </c>
      <c r="M12">
        <v>3</v>
      </c>
      <c r="N12">
        <v>32562</v>
      </c>
      <c r="O12">
        <v>32558</v>
      </c>
      <c r="P12">
        <v>28888</v>
      </c>
      <c r="Q12">
        <v>3408</v>
      </c>
      <c r="R12">
        <v>162</v>
      </c>
      <c r="S12">
        <v>100</v>
      </c>
      <c r="T12">
        <v>4</v>
      </c>
    </row>
    <row r="13" spans="1:20" x14ac:dyDescent="0.25">
      <c r="A13">
        <v>3510609</v>
      </c>
      <c r="B13" t="s">
        <v>67</v>
      </c>
      <c r="C13">
        <v>66</v>
      </c>
      <c r="D13" t="s">
        <v>68</v>
      </c>
      <c r="E13" t="s">
        <v>69</v>
      </c>
      <c r="F13">
        <v>299.5</v>
      </c>
      <c r="G13">
        <v>60562</v>
      </c>
      <c r="H13">
        <v>21069</v>
      </c>
      <c r="I13">
        <v>7881</v>
      </c>
      <c r="J13">
        <v>47</v>
      </c>
      <c r="K13">
        <v>31494</v>
      </c>
      <c r="L13">
        <v>61</v>
      </c>
      <c r="M13">
        <v>10</v>
      </c>
      <c r="N13">
        <v>21692</v>
      </c>
      <c r="O13">
        <v>21692</v>
      </c>
      <c r="P13">
        <v>20409</v>
      </c>
      <c r="Q13">
        <v>1165</v>
      </c>
      <c r="R13">
        <v>103</v>
      </c>
      <c r="S13">
        <v>15</v>
      </c>
    </row>
    <row r="14" spans="1:20" x14ac:dyDescent="0.25">
      <c r="A14">
        <v>3515004</v>
      </c>
      <c r="B14" t="s">
        <v>70</v>
      </c>
      <c r="C14">
        <v>59</v>
      </c>
      <c r="D14" t="s">
        <v>71</v>
      </c>
      <c r="E14" t="s">
        <v>72</v>
      </c>
      <c r="F14">
        <v>116.3</v>
      </c>
      <c r="G14">
        <v>53297</v>
      </c>
      <c r="H14">
        <v>16373</v>
      </c>
      <c r="I14">
        <v>8063</v>
      </c>
      <c r="J14">
        <v>49</v>
      </c>
      <c r="K14">
        <v>28755</v>
      </c>
      <c r="L14">
        <v>50</v>
      </c>
      <c r="M14">
        <v>7</v>
      </c>
      <c r="N14">
        <v>21312</v>
      </c>
      <c r="O14">
        <v>21312</v>
      </c>
      <c r="P14">
        <v>18218</v>
      </c>
      <c r="Q14">
        <v>2105</v>
      </c>
      <c r="R14">
        <v>923</v>
      </c>
      <c r="S14">
        <v>66</v>
      </c>
    </row>
    <row r="15" spans="1:20" x14ac:dyDescent="0.25">
      <c r="A15">
        <v>3548500</v>
      </c>
      <c r="B15" t="s">
        <v>73</v>
      </c>
      <c r="C15">
        <v>46</v>
      </c>
      <c r="D15" t="s">
        <v>74</v>
      </c>
      <c r="E15" t="s">
        <v>75</v>
      </c>
      <c r="F15">
        <v>90.2</v>
      </c>
      <c r="G15">
        <v>46262</v>
      </c>
      <c r="H15">
        <v>18279</v>
      </c>
      <c r="I15">
        <v>5887</v>
      </c>
      <c r="J15">
        <v>64</v>
      </c>
      <c r="K15">
        <v>21990</v>
      </c>
      <c r="L15">
        <v>41</v>
      </c>
      <c r="M15">
        <v>1</v>
      </c>
      <c r="N15">
        <v>19257</v>
      </c>
      <c r="O15">
        <v>19249</v>
      </c>
      <c r="P15">
        <v>16841</v>
      </c>
      <c r="Q15">
        <v>2006</v>
      </c>
      <c r="R15">
        <v>396</v>
      </c>
      <c r="S15">
        <v>6</v>
      </c>
      <c r="T15">
        <v>8</v>
      </c>
    </row>
    <row r="16" spans="1:20" x14ac:dyDescent="0.25">
      <c r="A16">
        <v>3552809</v>
      </c>
      <c r="B16" t="s">
        <v>76</v>
      </c>
      <c r="C16">
        <v>29</v>
      </c>
      <c r="D16" t="s">
        <v>77</v>
      </c>
      <c r="E16" t="s">
        <v>78</v>
      </c>
      <c r="F16">
        <v>304.60000000000002</v>
      </c>
      <c r="G16">
        <v>42031</v>
      </c>
      <c r="H16">
        <v>14457</v>
      </c>
      <c r="I16">
        <v>5980</v>
      </c>
      <c r="J16">
        <v>62</v>
      </c>
      <c r="K16">
        <v>21487</v>
      </c>
      <c r="L16">
        <v>45</v>
      </c>
      <c r="N16">
        <v>16009</v>
      </c>
      <c r="O16">
        <v>16009</v>
      </c>
      <c r="P16">
        <v>14586</v>
      </c>
      <c r="Q16">
        <v>1264</v>
      </c>
      <c r="R16">
        <v>152</v>
      </c>
      <c r="S16">
        <v>7</v>
      </c>
    </row>
    <row r="17" spans="1:20" x14ac:dyDescent="0.25">
      <c r="A17">
        <v>3513504</v>
      </c>
      <c r="B17" t="s">
        <v>79</v>
      </c>
      <c r="C17">
        <v>12</v>
      </c>
      <c r="D17" t="s">
        <v>80</v>
      </c>
      <c r="E17" t="s">
        <v>81</v>
      </c>
      <c r="F17">
        <v>119.5</v>
      </c>
      <c r="G17">
        <v>36724</v>
      </c>
      <c r="H17">
        <v>11592</v>
      </c>
      <c r="I17">
        <v>4587</v>
      </c>
      <c r="J17">
        <v>8</v>
      </c>
      <c r="K17">
        <v>20503</v>
      </c>
      <c r="L17">
        <v>34</v>
      </c>
      <c r="N17">
        <v>15221</v>
      </c>
      <c r="O17">
        <v>15218</v>
      </c>
      <c r="P17">
        <v>12921</v>
      </c>
      <c r="Q17">
        <v>2020</v>
      </c>
      <c r="R17">
        <v>274</v>
      </c>
      <c r="S17">
        <v>3</v>
      </c>
      <c r="T17">
        <v>3</v>
      </c>
    </row>
    <row r="18" spans="1:20" x14ac:dyDescent="0.25">
      <c r="A18">
        <v>3515707</v>
      </c>
      <c r="B18" t="s">
        <v>82</v>
      </c>
      <c r="C18">
        <v>38</v>
      </c>
      <c r="D18" t="s">
        <v>83</v>
      </c>
      <c r="E18" t="s">
        <v>84</v>
      </c>
      <c r="F18">
        <v>126.5</v>
      </c>
      <c r="G18">
        <v>30629</v>
      </c>
      <c r="H18">
        <v>10510</v>
      </c>
      <c r="I18">
        <v>4141</v>
      </c>
      <c r="J18">
        <v>18</v>
      </c>
      <c r="K18">
        <v>15914</v>
      </c>
      <c r="L18">
        <v>45</v>
      </c>
      <c r="M18">
        <v>1</v>
      </c>
      <c r="N18">
        <v>11265</v>
      </c>
      <c r="O18">
        <v>11263</v>
      </c>
      <c r="P18">
        <v>9872</v>
      </c>
      <c r="Q18">
        <v>1137</v>
      </c>
      <c r="R18">
        <v>142</v>
      </c>
      <c r="S18">
        <v>112</v>
      </c>
      <c r="T18">
        <v>2</v>
      </c>
    </row>
    <row r="19" spans="1:20" x14ac:dyDescent="0.25">
      <c r="A19">
        <v>3550704</v>
      </c>
      <c r="B19" t="s">
        <v>85</v>
      </c>
      <c r="C19">
        <v>23</v>
      </c>
      <c r="D19" t="s">
        <v>86</v>
      </c>
      <c r="E19" t="s">
        <v>87</v>
      </c>
      <c r="F19">
        <v>63.8</v>
      </c>
      <c r="G19">
        <v>24619</v>
      </c>
      <c r="H19">
        <v>8245</v>
      </c>
      <c r="I19">
        <v>3030</v>
      </c>
      <c r="J19">
        <v>36</v>
      </c>
      <c r="K19">
        <v>13270</v>
      </c>
      <c r="L19">
        <v>37</v>
      </c>
      <c r="M19">
        <v>1</v>
      </c>
      <c r="N19">
        <v>10045</v>
      </c>
      <c r="O19">
        <v>10041</v>
      </c>
      <c r="P19">
        <v>8293</v>
      </c>
      <c r="Q19">
        <v>1005</v>
      </c>
      <c r="R19">
        <v>734</v>
      </c>
      <c r="S19">
        <v>9</v>
      </c>
      <c r="T19">
        <v>4</v>
      </c>
    </row>
    <row r="20" spans="1:20" x14ac:dyDescent="0.25">
      <c r="A20">
        <v>3543402</v>
      </c>
      <c r="B20" t="s">
        <v>88</v>
      </c>
      <c r="C20">
        <v>47</v>
      </c>
      <c r="D20" t="s">
        <v>89</v>
      </c>
      <c r="E20" t="s">
        <v>90</v>
      </c>
      <c r="F20">
        <v>132.5</v>
      </c>
      <c r="G20">
        <v>23781</v>
      </c>
      <c r="H20">
        <v>6735</v>
      </c>
      <c r="I20">
        <v>3289</v>
      </c>
      <c r="J20">
        <v>10</v>
      </c>
      <c r="K20">
        <v>13719</v>
      </c>
      <c r="L20">
        <v>26</v>
      </c>
      <c r="M20">
        <v>2</v>
      </c>
      <c r="N20">
        <v>8806</v>
      </c>
      <c r="O20">
        <v>8806</v>
      </c>
      <c r="P20">
        <v>7728</v>
      </c>
      <c r="Q20">
        <v>782</v>
      </c>
      <c r="R20">
        <v>115</v>
      </c>
      <c r="S20">
        <v>181</v>
      </c>
    </row>
    <row r="21" spans="1:20" x14ac:dyDescent="0.25">
      <c r="A21">
        <v>3516309</v>
      </c>
      <c r="B21" t="s">
        <v>91</v>
      </c>
      <c r="C21">
        <v>36</v>
      </c>
      <c r="D21" t="s">
        <v>92</v>
      </c>
      <c r="E21" t="s">
        <v>93</v>
      </c>
      <c r="F21">
        <v>90.7</v>
      </c>
      <c r="G21">
        <v>22646</v>
      </c>
      <c r="H21">
        <v>7521</v>
      </c>
      <c r="I21">
        <v>3482</v>
      </c>
      <c r="J21">
        <v>14</v>
      </c>
      <c r="K21">
        <v>11602</v>
      </c>
      <c r="L21">
        <v>27</v>
      </c>
      <c r="N21">
        <v>8363</v>
      </c>
      <c r="O21">
        <v>8363</v>
      </c>
      <c r="P21">
        <v>7682</v>
      </c>
      <c r="Q21">
        <v>630</v>
      </c>
      <c r="R21">
        <v>50</v>
      </c>
      <c r="S21">
        <v>1</v>
      </c>
    </row>
    <row r="22" spans="1:20" x14ac:dyDescent="0.25">
      <c r="A22">
        <v>3541000</v>
      </c>
      <c r="B22" t="s">
        <v>94</v>
      </c>
      <c r="C22">
        <v>12</v>
      </c>
      <c r="D22" t="s">
        <v>95</v>
      </c>
      <c r="E22" t="s">
        <v>96</v>
      </c>
      <c r="F22">
        <v>100.3</v>
      </c>
      <c r="G22">
        <v>21315</v>
      </c>
      <c r="H22">
        <v>7362</v>
      </c>
      <c r="I22">
        <v>2629</v>
      </c>
      <c r="J22">
        <v>23</v>
      </c>
      <c r="K22">
        <v>11290</v>
      </c>
      <c r="L22">
        <v>10</v>
      </c>
      <c r="M22">
        <v>1</v>
      </c>
      <c r="N22">
        <v>8214</v>
      </c>
      <c r="O22">
        <v>8212</v>
      </c>
      <c r="P22">
        <v>6962</v>
      </c>
      <c r="Q22">
        <v>1074</v>
      </c>
      <c r="R22">
        <v>157</v>
      </c>
      <c r="S22">
        <v>19</v>
      </c>
      <c r="T22">
        <v>2</v>
      </c>
    </row>
    <row r="23" spans="1:20" x14ac:dyDescent="0.25">
      <c r="A23">
        <v>3552502</v>
      </c>
      <c r="B23" t="s">
        <v>97</v>
      </c>
      <c r="C23">
        <v>21</v>
      </c>
      <c r="D23" t="s">
        <v>98</v>
      </c>
      <c r="E23" t="s">
        <v>99</v>
      </c>
      <c r="F23">
        <v>114.2</v>
      </c>
      <c r="G23">
        <v>21126</v>
      </c>
      <c r="H23">
        <v>7131</v>
      </c>
      <c r="I23">
        <v>2600</v>
      </c>
      <c r="J23">
        <v>41</v>
      </c>
      <c r="K23">
        <v>11322</v>
      </c>
      <c r="L23">
        <v>31</v>
      </c>
      <c r="M23">
        <v>1</v>
      </c>
      <c r="N23">
        <v>7586</v>
      </c>
      <c r="O23">
        <v>7584</v>
      </c>
      <c r="P23">
        <v>6754</v>
      </c>
      <c r="Q23">
        <v>696</v>
      </c>
      <c r="R23">
        <v>122</v>
      </c>
      <c r="S23">
        <v>12</v>
      </c>
      <c r="T23">
        <v>2</v>
      </c>
    </row>
    <row r="24" spans="1:20" x14ac:dyDescent="0.25">
      <c r="A24">
        <v>3525904</v>
      </c>
      <c r="B24" t="s">
        <v>100</v>
      </c>
      <c r="C24">
        <v>9</v>
      </c>
      <c r="D24" t="s">
        <v>101</v>
      </c>
      <c r="E24" t="s">
        <v>102</v>
      </c>
      <c r="F24">
        <v>207.6</v>
      </c>
      <c r="G24">
        <v>17999</v>
      </c>
      <c r="H24">
        <v>7374</v>
      </c>
      <c r="I24">
        <v>1687</v>
      </c>
      <c r="J24">
        <v>37</v>
      </c>
      <c r="K24">
        <v>8878</v>
      </c>
      <c r="L24">
        <v>23</v>
      </c>
      <c r="N24">
        <v>6025</v>
      </c>
      <c r="O24">
        <v>6025</v>
      </c>
      <c r="P24">
        <v>5802</v>
      </c>
      <c r="Q24">
        <v>194</v>
      </c>
      <c r="R24">
        <v>24</v>
      </c>
      <c r="S24">
        <v>5</v>
      </c>
    </row>
    <row r="25" spans="1:20" x14ac:dyDescent="0.25">
      <c r="A25">
        <v>3530607</v>
      </c>
      <c r="B25" t="s">
        <v>103</v>
      </c>
      <c r="C25">
        <v>16</v>
      </c>
      <c r="D25" t="s">
        <v>104</v>
      </c>
      <c r="E25" t="s">
        <v>105</v>
      </c>
      <c r="F25">
        <v>90.5</v>
      </c>
      <c r="G25">
        <v>17634</v>
      </c>
      <c r="H25">
        <v>5980</v>
      </c>
      <c r="I25">
        <v>2469</v>
      </c>
      <c r="J25">
        <v>45</v>
      </c>
      <c r="K25">
        <v>9105</v>
      </c>
      <c r="L25">
        <v>35</v>
      </c>
      <c r="N25">
        <v>6299</v>
      </c>
      <c r="O25">
        <v>6299</v>
      </c>
      <c r="P25">
        <v>5662</v>
      </c>
      <c r="Q25">
        <v>534</v>
      </c>
      <c r="R25">
        <v>97</v>
      </c>
      <c r="S25">
        <v>6</v>
      </c>
    </row>
    <row r="26" spans="1:20" x14ac:dyDescent="0.25">
      <c r="A26">
        <v>3506359</v>
      </c>
      <c r="B26" t="s">
        <v>106</v>
      </c>
      <c r="C26">
        <v>24</v>
      </c>
      <c r="D26" t="s">
        <v>107</v>
      </c>
      <c r="E26" t="s">
        <v>108</v>
      </c>
      <c r="F26">
        <v>40.9</v>
      </c>
      <c r="G26">
        <v>16400</v>
      </c>
      <c r="H26">
        <v>4992</v>
      </c>
      <c r="I26">
        <v>1997</v>
      </c>
      <c r="J26">
        <v>41</v>
      </c>
      <c r="K26">
        <v>9296</v>
      </c>
      <c r="L26">
        <v>74</v>
      </c>
      <c r="N26">
        <v>6995</v>
      </c>
      <c r="O26">
        <v>6991</v>
      </c>
      <c r="P26">
        <v>5583</v>
      </c>
      <c r="Q26">
        <v>550</v>
      </c>
      <c r="R26">
        <v>814</v>
      </c>
      <c r="S26">
        <v>44</v>
      </c>
      <c r="T26">
        <v>4</v>
      </c>
    </row>
    <row r="27" spans="1:20" x14ac:dyDescent="0.25">
      <c r="A27">
        <v>3555406</v>
      </c>
      <c r="B27" t="s">
        <v>109</v>
      </c>
      <c r="C27">
        <v>18</v>
      </c>
      <c r="D27" t="s">
        <v>110</v>
      </c>
      <c r="E27" t="s">
        <v>111</v>
      </c>
      <c r="F27">
        <v>29.7</v>
      </c>
      <c r="G27">
        <v>16382</v>
      </c>
      <c r="H27">
        <v>6355</v>
      </c>
      <c r="I27">
        <v>1906</v>
      </c>
      <c r="J27">
        <v>27</v>
      </c>
      <c r="K27">
        <v>8036</v>
      </c>
      <c r="L27">
        <v>58</v>
      </c>
      <c r="N27">
        <v>6878</v>
      </c>
      <c r="O27">
        <v>6868</v>
      </c>
      <c r="P27">
        <v>5496</v>
      </c>
      <c r="Q27">
        <v>740</v>
      </c>
      <c r="R27">
        <v>614</v>
      </c>
      <c r="S27">
        <v>18</v>
      </c>
      <c r="T27">
        <v>10</v>
      </c>
    </row>
    <row r="28" spans="1:20" x14ac:dyDescent="0.25">
      <c r="A28">
        <v>3556503</v>
      </c>
      <c r="B28" t="s">
        <v>112</v>
      </c>
      <c r="C28">
        <v>3</v>
      </c>
      <c r="D28" t="s">
        <v>113</v>
      </c>
      <c r="E28" t="s">
        <v>114</v>
      </c>
      <c r="F28">
        <v>191.2</v>
      </c>
      <c r="G28">
        <v>15411</v>
      </c>
      <c r="H28">
        <v>5852</v>
      </c>
      <c r="I28">
        <v>1746</v>
      </c>
      <c r="J28">
        <v>7</v>
      </c>
      <c r="K28">
        <v>7803</v>
      </c>
      <c r="L28">
        <v>3</v>
      </c>
      <c r="N28">
        <v>5235</v>
      </c>
      <c r="O28">
        <v>5234</v>
      </c>
      <c r="P28">
        <v>4968</v>
      </c>
      <c r="Q28">
        <v>235</v>
      </c>
      <c r="R28">
        <v>28</v>
      </c>
      <c r="S28">
        <v>3</v>
      </c>
      <c r="T28">
        <v>1</v>
      </c>
    </row>
    <row r="29" spans="1:20" x14ac:dyDescent="0.25">
      <c r="A29">
        <v>3516408</v>
      </c>
      <c r="B29" t="s">
        <v>115</v>
      </c>
      <c r="C29">
        <v>25</v>
      </c>
      <c r="D29" t="s">
        <v>116</v>
      </c>
      <c r="E29" t="s">
        <v>117</v>
      </c>
      <c r="F29">
        <v>81.8</v>
      </c>
      <c r="G29">
        <v>14726</v>
      </c>
      <c r="H29">
        <v>4852</v>
      </c>
      <c r="I29">
        <v>2106</v>
      </c>
      <c r="J29">
        <v>15</v>
      </c>
      <c r="K29">
        <v>7739</v>
      </c>
      <c r="L29">
        <v>14</v>
      </c>
      <c r="N29">
        <v>5492</v>
      </c>
      <c r="O29">
        <v>5492</v>
      </c>
      <c r="P29">
        <v>4874</v>
      </c>
      <c r="Q29">
        <v>436</v>
      </c>
      <c r="R29">
        <v>176</v>
      </c>
      <c r="S29">
        <v>6</v>
      </c>
    </row>
    <row r="30" spans="1:20" x14ac:dyDescent="0.25">
      <c r="A30">
        <v>3522208</v>
      </c>
      <c r="B30" t="s">
        <v>118</v>
      </c>
      <c r="C30">
        <v>20</v>
      </c>
      <c r="D30" t="s">
        <v>119</v>
      </c>
      <c r="E30" t="s">
        <v>120</v>
      </c>
      <c r="F30">
        <v>108.1</v>
      </c>
      <c r="G30">
        <v>14140</v>
      </c>
      <c r="H30">
        <v>4786</v>
      </c>
      <c r="I30">
        <v>2266</v>
      </c>
      <c r="J30">
        <v>19</v>
      </c>
      <c r="K30">
        <v>7042</v>
      </c>
      <c r="L30">
        <v>26</v>
      </c>
      <c r="M30">
        <v>1</v>
      </c>
      <c r="N30">
        <v>5909</v>
      </c>
      <c r="O30">
        <v>5909</v>
      </c>
      <c r="P30">
        <v>4911</v>
      </c>
      <c r="Q30">
        <v>629</v>
      </c>
      <c r="R30">
        <v>359</v>
      </c>
      <c r="S30">
        <v>10</v>
      </c>
    </row>
    <row r="31" spans="1:20" x14ac:dyDescent="0.25">
      <c r="A31">
        <v>3522505</v>
      </c>
      <c r="B31" t="s">
        <v>121</v>
      </c>
      <c r="C31">
        <v>20</v>
      </c>
      <c r="D31" t="s">
        <v>122</v>
      </c>
      <c r="E31" t="s">
        <v>123</v>
      </c>
      <c r="F31">
        <v>212.1</v>
      </c>
      <c r="G31">
        <v>13911</v>
      </c>
      <c r="H31">
        <v>3530</v>
      </c>
      <c r="I31">
        <v>1448</v>
      </c>
      <c r="J31">
        <v>17</v>
      </c>
      <c r="K31">
        <v>8909</v>
      </c>
      <c r="L31">
        <v>7</v>
      </c>
      <c r="N31">
        <v>5059</v>
      </c>
      <c r="O31">
        <v>5059</v>
      </c>
      <c r="P31">
        <v>4898</v>
      </c>
      <c r="Q31">
        <v>130</v>
      </c>
      <c r="R31">
        <v>12</v>
      </c>
      <c r="S31">
        <v>19</v>
      </c>
    </row>
    <row r="32" spans="1:20" x14ac:dyDescent="0.25">
      <c r="A32">
        <v>3552205</v>
      </c>
      <c r="B32" t="s">
        <v>124</v>
      </c>
      <c r="C32">
        <v>22</v>
      </c>
      <c r="D32" t="s">
        <v>125</v>
      </c>
      <c r="E32" t="s">
        <v>126</v>
      </c>
      <c r="F32">
        <v>57.7</v>
      </c>
      <c r="G32">
        <v>12433</v>
      </c>
      <c r="H32">
        <v>5692</v>
      </c>
      <c r="I32">
        <v>1263</v>
      </c>
      <c r="J32">
        <v>14</v>
      </c>
      <c r="K32">
        <v>5457</v>
      </c>
      <c r="L32">
        <v>6</v>
      </c>
      <c r="M32">
        <v>1</v>
      </c>
      <c r="N32">
        <v>4518</v>
      </c>
      <c r="O32">
        <v>4517</v>
      </c>
      <c r="P32">
        <v>3911</v>
      </c>
      <c r="Q32">
        <v>416</v>
      </c>
      <c r="R32">
        <v>99</v>
      </c>
      <c r="S32">
        <v>91</v>
      </c>
      <c r="T32">
        <v>1</v>
      </c>
    </row>
    <row r="33" spans="1:20" x14ac:dyDescent="0.25">
      <c r="A33">
        <v>3552403</v>
      </c>
      <c r="B33" t="s">
        <v>127</v>
      </c>
      <c r="C33">
        <v>13</v>
      </c>
      <c r="D33" t="s">
        <v>128</v>
      </c>
      <c r="E33" t="s">
        <v>129</v>
      </c>
      <c r="F33">
        <v>75.8</v>
      </c>
      <c r="G33">
        <v>11138</v>
      </c>
      <c r="H33">
        <v>3719</v>
      </c>
      <c r="I33">
        <v>1349</v>
      </c>
      <c r="J33">
        <v>11</v>
      </c>
      <c r="K33">
        <v>6044</v>
      </c>
      <c r="L33">
        <v>15</v>
      </c>
      <c r="N33">
        <v>4287</v>
      </c>
      <c r="O33">
        <v>4287</v>
      </c>
      <c r="P33">
        <v>3718</v>
      </c>
      <c r="Q33">
        <v>437</v>
      </c>
      <c r="R33">
        <v>126</v>
      </c>
      <c r="S33">
        <v>6</v>
      </c>
    </row>
    <row r="34" spans="1:20" x14ac:dyDescent="0.25">
      <c r="A34">
        <v>3513009</v>
      </c>
      <c r="B34" t="s">
        <v>130</v>
      </c>
      <c r="C34">
        <v>19</v>
      </c>
      <c r="D34" t="s">
        <v>131</v>
      </c>
      <c r="E34" t="s">
        <v>132</v>
      </c>
      <c r="F34">
        <v>154.69999999999999</v>
      </c>
      <c r="G34">
        <v>11123</v>
      </c>
      <c r="H34">
        <v>3554</v>
      </c>
      <c r="I34">
        <v>1565</v>
      </c>
      <c r="J34">
        <v>22</v>
      </c>
      <c r="K34">
        <v>5968</v>
      </c>
      <c r="L34">
        <v>14</v>
      </c>
      <c r="N34">
        <v>4141</v>
      </c>
      <c r="O34">
        <v>4141</v>
      </c>
      <c r="P34">
        <v>3680</v>
      </c>
      <c r="Q34">
        <v>410</v>
      </c>
      <c r="R34">
        <v>46</v>
      </c>
      <c r="S34">
        <v>5</v>
      </c>
    </row>
    <row r="35" spans="1:20" x14ac:dyDescent="0.25">
      <c r="A35">
        <v>3509205</v>
      </c>
      <c r="B35" t="s">
        <v>133</v>
      </c>
      <c r="C35">
        <v>21</v>
      </c>
      <c r="D35" t="s">
        <v>134</v>
      </c>
      <c r="E35" t="s">
        <v>135</v>
      </c>
      <c r="F35">
        <v>67.400000000000006</v>
      </c>
      <c r="G35">
        <v>11081</v>
      </c>
      <c r="H35">
        <v>4508</v>
      </c>
      <c r="I35">
        <v>1125</v>
      </c>
      <c r="J35">
        <v>5</v>
      </c>
      <c r="K35">
        <v>5426</v>
      </c>
      <c r="L35">
        <v>17</v>
      </c>
      <c r="N35">
        <v>4148</v>
      </c>
      <c r="O35">
        <v>4148</v>
      </c>
      <c r="P35">
        <v>3751</v>
      </c>
      <c r="Q35">
        <v>344</v>
      </c>
      <c r="R35">
        <v>53</v>
      </c>
    </row>
    <row r="36" spans="1:20" x14ac:dyDescent="0.25">
      <c r="A36">
        <v>3538709</v>
      </c>
      <c r="B36" t="s">
        <v>136</v>
      </c>
      <c r="C36">
        <v>16</v>
      </c>
      <c r="D36" t="s">
        <v>137</v>
      </c>
      <c r="E36" t="s">
        <v>138</v>
      </c>
      <c r="F36">
        <v>128.1</v>
      </c>
      <c r="G36">
        <v>10863</v>
      </c>
      <c r="H36">
        <v>3076</v>
      </c>
      <c r="I36">
        <v>1766</v>
      </c>
      <c r="J36">
        <v>6</v>
      </c>
      <c r="K36">
        <v>6010</v>
      </c>
      <c r="L36">
        <v>5</v>
      </c>
      <c r="N36">
        <v>4590</v>
      </c>
      <c r="O36">
        <v>4588</v>
      </c>
      <c r="P36">
        <v>3450</v>
      </c>
      <c r="Q36">
        <v>604</v>
      </c>
      <c r="R36">
        <v>81</v>
      </c>
      <c r="S36">
        <v>453</v>
      </c>
      <c r="T36">
        <v>2</v>
      </c>
    </row>
    <row r="37" spans="1:20" x14ac:dyDescent="0.25">
      <c r="A37">
        <v>3509700</v>
      </c>
      <c r="B37" t="s">
        <v>139</v>
      </c>
      <c r="C37">
        <v>11</v>
      </c>
      <c r="D37" t="s">
        <v>140</v>
      </c>
      <c r="E37" t="s">
        <v>141</v>
      </c>
      <c r="F37">
        <v>97.1</v>
      </c>
      <c r="G37">
        <v>9063</v>
      </c>
      <c r="H37">
        <v>6056</v>
      </c>
      <c r="I37">
        <v>368</v>
      </c>
      <c r="J37">
        <v>3</v>
      </c>
      <c r="K37">
        <v>2629</v>
      </c>
      <c r="L37">
        <v>7</v>
      </c>
      <c r="N37">
        <v>3251</v>
      </c>
      <c r="O37">
        <v>3245</v>
      </c>
      <c r="P37">
        <v>2905</v>
      </c>
      <c r="Q37">
        <v>285</v>
      </c>
      <c r="R37">
        <v>54</v>
      </c>
      <c r="S37">
        <v>1</v>
      </c>
      <c r="T37">
        <v>6</v>
      </c>
    </row>
    <row r="38" spans="1:20" x14ac:dyDescent="0.25">
      <c r="A38">
        <v>3505708</v>
      </c>
      <c r="B38" t="s">
        <v>142</v>
      </c>
      <c r="C38">
        <v>14</v>
      </c>
      <c r="D38" t="s">
        <v>143</v>
      </c>
      <c r="E38" t="s">
        <v>144</v>
      </c>
      <c r="F38">
        <v>300.60000000000002</v>
      </c>
      <c r="G38">
        <v>8717</v>
      </c>
      <c r="H38">
        <v>3055</v>
      </c>
      <c r="I38">
        <v>961</v>
      </c>
      <c r="J38">
        <v>9</v>
      </c>
      <c r="K38">
        <v>4689</v>
      </c>
      <c r="L38">
        <v>3</v>
      </c>
      <c r="N38">
        <v>3094</v>
      </c>
      <c r="O38">
        <v>3094</v>
      </c>
      <c r="P38">
        <v>2925</v>
      </c>
      <c r="Q38">
        <v>150</v>
      </c>
      <c r="R38">
        <v>19</v>
      </c>
    </row>
    <row r="39" spans="1:20" x14ac:dyDescent="0.25">
      <c r="A39">
        <v>3509007</v>
      </c>
      <c r="B39" t="s">
        <v>145</v>
      </c>
      <c r="C39">
        <v>10</v>
      </c>
      <c r="D39" t="s">
        <v>146</v>
      </c>
      <c r="E39" t="s">
        <v>147</v>
      </c>
      <c r="F39">
        <v>161.6</v>
      </c>
      <c r="G39">
        <v>6850</v>
      </c>
      <c r="H39">
        <v>2197</v>
      </c>
      <c r="I39">
        <v>924</v>
      </c>
      <c r="J39">
        <v>9</v>
      </c>
      <c r="K39">
        <v>3696</v>
      </c>
      <c r="L39">
        <v>24</v>
      </c>
      <c r="N39">
        <v>2360</v>
      </c>
      <c r="O39">
        <v>2360</v>
      </c>
      <c r="P39">
        <v>2233</v>
      </c>
      <c r="Q39">
        <v>121</v>
      </c>
      <c r="R39">
        <v>6</v>
      </c>
    </row>
    <row r="40" spans="1:20" x14ac:dyDescent="0.25">
      <c r="A40">
        <v>3520400</v>
      </c>
      <c r="B40" t="s">
        <v>148</v>
      </c>
      <c r="C40">
        <v>13</v>
      </c>
      <c r="D40" t="s">
        <v>149</v>
      </c>
      <c r="E40" t="s">
        <v>150</v>
      </c>
      <c r="F40">
        <v>62.3</v>
      </c>
      <c r="G40">
        <v>6833</v>
      </c>
      <c r="H40">
        <v>2557</v>
      </c>
      <c r="I40">
        <v>725</v>
      </c>
      <c r="J40">
        <v>18</v>
      </c>
      <c r="K40">
        <v>3475</v>
      </c>
      <c r="L40">
        <v>58</v>
      </c>
      <c r="N40">
        <v>2598</v>
      </c>
      <c r="O40">
        <v>2597</v>
      </c>
      <c r="P40">
        <v>2318</v>
      </c>
      <c r="Q40">
        <v>125</v>
      </c>
      <c r="R40">
        <v>153</v>
      </c>
      <c r="S40">
        <v>1</v>
      </c>
      <c r="T40">
        <v>1</v>
      </c>
    </row>
    <row r="41" spans="1:20" x14ac:dyDescent="0.25">
      <c r="A41">
        <v>3549904</v>
      </c>
      <c r="B41" t="s">
        <v>151</v>
      </c>
      <c r="C41">
        <v>12</v>
      </c>
      <c r="D41" t="s">
        <v>152</v>
      </c>
      <c r="E41" t="s">
        <v>153</v>
      </c>
      <c r="F41">
        <v>58</v>
      </c>
      <c r="G41">
        <v>6497</v>
      </c>
      <c r="H41">
        <v>2604</v>
      </c>
      <c r="I41">
        <v>707</v>
      </c>
      <c r="J41">
        <v>2</v>
      </c>
      <c r="K41">
        <v>3174</v>
      </c>
      <c r="L41">
        <v>10</v>
      </c>
      <c r="N41">
        <v>2349</v>
      </c>
      <c r="O41">
        <v>2348</v>
      </c>
      <c r="P41">
        <v>2171</v>
      </c>
      <c r="Q41">
        <v>140</v>
      </c>
      <c r="R41">
        <v>27</v>
      </c>
      <c r="S41">
        <v>10</v>
      </c>
      <c r="T41">
        <v>1</v>
      </c>
    </row>
    <row r="42" spans="1:20" x14ac:dyDescent="0.25">
      <c r="A42">
        <v>3524402</v>
      </c>
      <c r="B42" t="s">
        <v>154</v>
      </c>
      <c r="C42">
        <v>10</v>
      </c>
      <c r="D42" t="s">
        <v>155</v>
      </c>
      <c r="E42" t="s">
        <v>156</v>
      </c>
      <c r="F42">
        <v>70.3</v>
      </c>
      <c r="G42">
        <v>6365</v>
      </c>
      <c r="H42">
        <v>2737</v>
      </c>
      <c r="I42">
        <v>679</v>
      </c>
      <c r="J42">
        <v>8</v>
      </c>
      <c r="K42">
        <v>2936</v>
      </c>
      <c r="L42">
        <v>5</v>
      </c>
      <c r="N42">
        <v>2402</v>
      </c>
      <c r="O42">
        <v>2402</v>
      </c>
      <c r="P42">
        <v>2109</v>
      </c>
      <c r="Q42">
        <v>259</v>
      </c>
      <c r="R42">
        <v>34</v>
      </c>
    </row>
    <row r="43" spans="1:20" x14ac:dyDescent="0.25">
      <c r="A43">
        <v>3506003</v>
      </c>
      <c r="B43" t="s">
        <v>157</v>
      </c>
      <c r="C43">
        <v>15</v>
      </c>
      <c r="D43" t="s">
        <v>158</v>
      </c>
      <c r="E43" t="s">
        <v>159</v>
      </c>
      <c r="F43">
        <v>26.5</v>
      </c>
      <c r="G43">
        <v>6310</v>
      </c>
      <c r="H43">
        <v>2311</v>
      </c>
      <c r="I43">
        <v>745</v>
      </c>
      <c r="J43">
        <v>4</v>
      </c>
      <c r="K43">
        <v>3242</v>
      </c>
      <c r="L43">
        <v>8</v>
      </c>
      <c r="N43">
        <v>2586</v>
      </c>
      <c r="O43">
        <v>2586</v>
      </c>
      <c r="P43">
        <v>2018</v>
      </c>
      <c r="Q43">
        <v>317</v>
      </c>
      <c r="R43">
        <v>187</v>
      </c>
      <c r="S43">
        <v>64</v>
      </c>
    </row>
    <row r="44" spans="1:20" x14ac:dyDescent="0.25">
      <c r="A44">
        <v>3510500</v>
      </c>
      <c r="B44" t="s">
        <v>160</v>
      </c>
      <c r="C44">
        <v>12</v>
      </c>
      <c r="D44" t="s">
        <v>161</v>
      </c>
      <c r="E44" t="s">
        <v>162</v>
      </c>
      <c r="F44">
        <v>43.2</v>
      </c>
      <c r="G44">
        <v>5601</v>
      </c>
      <c r="H44">
        <v>2398</v>
      </c>
      <c r="I44">
        <v>562</v>
      </c>
      <c r="J44">
        <v>2</v>
      </c>
      <c r="K44">
        <v>2622</v>
      </c>
      <c r="L44">
        <v>17</v>
      </c>
      <c r="N44">
        <v>2396</v>
      </c>
      <c r="O44">
        <v>2396</v>
      </c>
      <c r="P44">
        <v>1833</v>
      </c>
      <c r="Q44">
        <v>263</v>
      </c>
      <c r="R44">
        <v>261</v>
      </c>
      <c r="S44">
        <v>39</v>
      </c>
    </row>
    <row r="45" spans="1:20" x14ac:dyDescent="0.25">
      <c r="A45">
        <v>3504107</v>
      </c>
      <c r="B45" t="s">
        <v>163</v>
      </c>
      <c r="C45">
        <v>11</v>
      </c>
      <c r="D45" t="s">
        <v>164</v>
      </c>
      <c r="E45" t="s">
        <v>165</v>
      </c>
      <c r="F45">
        <v>68.099999999999994</v>
      </c>
      <c r="G45">
        <v>5370</v>
      </c>
      <c r="H45">
        <v>2526</v>
      </c>
      <c r="I45">
        <v>450</v>
      </c>
      <c r="J45">
        <v>16</v>
      </c>
      <c r="K45">
        <v>2371</v>
      </c>
      <c r="L45">
        <v>7</v>
      </c>
      <c r="N45">
        <v>1961</v>
      </c>
      <c r="O45">
        <v>1960</v>
      </c>
      <c r="P45">
        <v>1761</v>
      </c>
      <c r="Q45">
        <v>151</v>
      </c>
      <c r="R45">
        <v>42</v>
      </c>
      <c r="S45">
        <v>6</v>
      </c>
      <c r="T45">
        <v>1</v>
      </c>
    </row>
    <row r="46" spans="1:20" x14ac:dyDescent="0.25">
      <c r="A46">
        <v>3544103</v>
      </c>
      <c r="B46" t="s">
        <v>166</v>
      </c>
      <c r="C46">
        <v>7</v>
      </c>
      <c r="D46" t="s">
        <v>167</v>
      </c>
      <c r="E46" t="s">
        <v>168</v>
      </c>
      <c r="F46">
        <v>73.3</v>
      </c>
      <c r="G46">
        <v>5195</v>
      </c>
      <c r="H46">
        <v>2055</v>
      </c>
      <c r="I46">
        <v>576</v>
      </c>
      <c r="J46">
        <v>3</v>
      </c>
      <c r="K46">
        <v>2550</v>
      </c>
      <c r="L46">
        <v>11</v>
      </c>
      <c r="N46">
        <v>2049</v>
      </c>
      <c r="O46">
        <v>2048</v>
      </c>
      <c r="P46">
        <v>1842</v>
      </c>
      <c r="Q46">
        <v>178</v>
      </c>
      <c r="R46">
        <v>28</v>
      </c>
      <c r="T46">
        <v>1</v>
      </c>
    </row>
    <row r="47" spans="1:20" x14ac:dyDescent="0.25">
      <c r="A47">
        <v>3525003</v>
      </c>
      <c r="B47" t="s">
        <v>169</v>
      </c>
      <c r="C47">
        <v>8</v>
      </c>
      <c r="D47" t="s">
        <v>170</v>
      </c>
      <c r="E47" t="s">
        <v>171</v>
      </c>
      <c r="F47">
        <v>241.5</v>
      </c>
      <c r="G47">
        <v>4974</v>
      </c>
      <c r="H47">
        <v>1570</v>
      </c>
      <c r="I47">
        <v>826</v>
      </c>
      <c r="J47">
        <v>3</v>
      </c>
      <c r="K47">
        <v>2575</v>
      </c>
      <c r="N47">
        <v>1891</v>
      </c>
      <c r="O47">
        <v>1891</v>
      </c>
      <c r="P47">
        <v>1692</v>
      </c>
      <c r="Q47">
        <v>189</v>
      </c>
      <c r="R47">
        <v>6</v>
      </c>
      <c r="S47">
        <v>4</v>
      </c>
    </row>
    <row r="48" spans="1:20" x14ac:dyDescent="0.25">
      <c r="A48">
        <v>3557006</v>
      </c>
      <c r="B48" t="s">
        <v>172</v>
      </c>
      <c r="C48">
        <v>9</v>
      </c>
      <c r="D48" t="s">
        <v>173</v>
      </c>
      <c r="E48" t="s">
        <v>174</v>
      </c>
      <c r="F48">
        <v>89</v>
      </c>
      <c r="G48">
        <v>4919</v>
      </c>
      <c r="H48">
        <v>2028</v>
      </c>
      <c r="I48">
        <v>512</v>
      </c>
      <c r="J48">
        <v>3</v>
      </c>
      <c r="K48">
        <v>2371</v>
      </c>
      <c r="L48">
        <v>5</v>
      </c>
      <c r="N48">
        <v>1613</v>
      </c>
      <c r="O48">
        <v>1613</v>
      </c>
      <c r="P48">
        <v>1404</v>
      </c>
      <c r="Q48">
        <v>77</v>
      </c>
      <c r="R48">
        <v>14</v>
      </c>
      <c r="S48">
        <v>118</v>
      </c>
    </row>
    <row r="49" spans="1:19" x14ac:dyDescent="0.25">
      <c r="A49">
        <v>3543303</v>
      </c>
      <c r="B49" t="s">
        <v>175</v>
      </c>
      <c r="C49">
        <v>4</v>
      </c>
      <c r="D49" t="s">
        <v>176</v>
      </c>
      <c r="E49" t="s">
        <v>177</v>
      </c>
      <c r="F49">
        <v>148.5</v>
      </c>
      <c r="G49">
        <v>4678</v>
      </c>
      <c r="H49">
        <v>1681</v>
      </c>
      <c r="I49">
        <v>525</v>
      </c>
      <c r="K49">
        <v>2471</v>
      </c>
      <c r="L49">
        <v>1</v>
      </c>
      <c r="N49">
        <v>1773</v>
      </c>
      <c r="O49">
        <v>1773</v>
      </c>
      <c r="P49">
        <v>1629</v>
      </c>
      <c r="Q49">
        <v>90</v>
      </c>
      <c r="R49">
        <v>5</v>
      </c>
      <c r="S49">
        <v>49</v>
      </c>
    </row>
    <row r="50" spans="1:19" x14ac:dyDescent="0.25">
      <c r="A50">
        <v>3519071</v>
      </c>
      <c r="B50" t="s">
        <v>178</v>
      </c>
      <c r="C50">
        <v>7</v>
      </c>
      <c r="D50" t="s">
        <v>179</v>
      </c>
      <c r="E50" t="s">
        <v>180</v>
      </c>
      <c r="F50">
        <v>118</v>
      </c>
      <c r="G50">
        <v>4223</v>
      </c>
      <c r="H50">
        <v>1270</v>
      </c>
      <c r="I50">
        <v>519</v>
      </c>
      <c r="J50">
        <v>2</v>
      </c>
      <c r="K50">
        <v>2422</v>
      </c>
      <c r="L50">
        <v>10</v>
      </c>
      <c r="N50">
        <v>1447</v>
      </c>
      <c r="O50">
        <v>1447</v>
      </c>
      <c r="P50">
        <v>1366</v>
      </c>
      <c r="Q50">
        <v>66</v>
      </c>
      <c r="R50">
        <v>15</v>
      </c>
    </row>
    <row r="51" spans="1:19" x14ac:dyDescent="0.25">
      <c r="A51">
        <v>3547304</v>
      </c>
      <c r="B51" t="s">
        <v>181</v>
      </c>
      <c r="C51">
        <v>8</v>
      </c>
      <c r="D51" t="s">
        <v>182</v>
      </c>
      <c r="E51" t="s">
        <v>183</v>
      </c>
      <c r="F51">
        <v>127.3</v>
      </c>
      <c r="G51">
        <v>3793</v>
      </c>
      <c r="H51">
        <v>1165</v>
      </c>
      <c r="I51">
        <v>376</v>
      </c>
      <c r="J51">
        <v>2</v>
      </c>
      <c r="K51">
        <v>2247</v>
      </c>
      <c r="L51">
        <v>3</v>
      </c>
      <c r="N51">
        <v>1356</v>
      </c>
      <c r="O51">
        <v>1356</v>
      </c>
      <c r="P51">
        <v>1266</v>
      </c>
      <c r="Q51">
        <v>83</v>
      </c>
      <c r="R51">
        <v>7</v>
      </c>
    </row>
    <row r="52" spans="1:19" x14ac:dyDescent="0.25">
      <c r="A52">
        <v>3528502</v>
      </c>
      <c r="B52" t="s">
        <v>184</v>
      </c>
      <c r="C52">
        <v>11</v>
      </c>
      <c r="D52" t="s">
        <v>185</v>
      </c>
      <c r="E52" t="s">
        <v>186</v>
      </c>
      <c r="F52">
        <v>53.2</v>
      </c>
      <c r="G52">
        <v>3475</v>
      </c>
      <c r="H52">
        <v>1406</v>
      </c>
      <c r="I52">
        <v>346</v>
      </c>
      <c r="J52">
        <v>3</v>
      </c>
      <c r="K52">
        <v>1716</v>
      </c>
      <c r="L52">
        <v>4</v>
      </c>
      <c r="N52">
        <v>1319</v>
      </c>
      <c r="O52">
        <v>1319</v>
      </c>
      <c r="P52">
        <v>1181</v>
      </c>
      <c r="Q52">
        <v>107</v>
      </c>
      <c r="R52">
        <v>30</v>
      </c>
      <c r="S52">
        <v>1</v>
      </c>
    </row>
    <row r="53" spans="1:19" x14ac:dyDescent="0.25">
      <c r="A53">
        <v>3509601</v>
      </c>
      <c r="B53" t="s">
        <v>187</v>
      </c>
      <c r="C53">
        <v>5</v>
      </c>
      <c r="D53" t="s">
        <v>188</v>
      </c>
      <c r="E53" t="s">
        <v>189</v>
      </c>
      <c r="F53">
        <v>34.1</v>
      </c>
      <c r="G53">
        <v>3350</v>
      </c>
      <c r="H53">
        <v>1196</v>
      </c>
      <c r="I53">
        <v>455</v>
      </c>
      <c r="J53">
        <v>1</v>
      </c>
      <c r="K53">
        <v>1697</v>
      </c>
      <c r="L53">
        <v>1</v>
      </c>
      <c r="N53">
        <v>1282</v>
      </c>
      <c r="O53">
        <v>1282</v>
      </c>
      <c r="P53">
        <v>1004</v>
      </c>
      <c r="Q53">
        <v>137</v>
      </c>
      <c r="R53">
        <v>60</v>
      </c>
      <c r="S53">
        <v>81</v>
      </c>
    </row>
    <row r="54" spans="1:19" x14ac:dyDescent="0.25">
      <c r="A54">
        <v>3523909</v>
      </c>
      <c r="B54" t="s">
        <v>190</v>
      </c>
      <c r="C54">
        <v>6</v>
      </c>
      <c r="D54" t="s">
        <v>191</v>
      </c>
      <c r="E54" t="s">
        <v>192</v>
      </c>
      <c r="F54">
        <v>92.5</v>
      </c>
      <c r="G54">
        <v>3245</v>
      </c>
      <c r="H54">
        <v>1291</v>
      </c>
      <c r="I54">
        <v>268</v>
      </c>
      <c r="K54">
        <v>1686</v>
      </c>
      <c r="N54">
        <v>1260</v>
      </c>
      <c r="O54">
        <v>1260</v>
      </c>
      <c r="P54">
        <v>1061</v>
      </c>
      <c r="Q54">
        <v>165</v>
      </c>
      <c r="R54">
        <v>28</v>
      </c>
      <c r="S54">
        <v>6</v>
      </c>
    </row>
    <row r="55" spans="1:19" x14ac:dyDescent="0.25">
      <c r="A55">
        <v>3529005</v>
      </c>
      <c r="B55" t="s">
        <v>193</v>
      </c>
      <c r="C55">
        <v>13</v>
      </c>
      <c r="D55" t="s">
        <v>194</v>
      </c>
      <c r="E55" t="s">
        <v>195</v>
      </c>
      <c r="F55">
        <v>42.1</v>
      </c>
      <c r="G55">
        <v>3190</v>
      </c>
      <c r="H55">
        <v>1127</v>
      </c>
      <c r="I55">
        <v>413</v>
      </c>
      <c r="J55">
        <v>4</v>
      </c>
      <c r="K55">
        <v>1636</v>
      </c>
      <c r="L55">
        <v>10</v>
      </c>
      <c r="N55">
        <v>1222</v>
      </c>
      <c r="O55">
        <v>1222</v>
      </c>
      <c r="P55">
        <v>1084</v>
      </c>
      <c r="Q55">
        <v>127</v>
      </c>
      <c r="R55">
        <v>10</v>
      </c>
      <c r="S55">
        <v>1</v>
      </c>
    </row>
    <row r="56" spans="1:19" x14ac:dyDescent="0.25">
      <c r="A56">
        <v>3539103</v>
      </c>
      <c r="B56" t="s">
        <v>196</v>
      </c>
      <c r="C56">
        <v>4</v>
      </c>
      <c r="D56" t="s">
        <v>197</v>
      </c>
      <c r="E56" t="s">
        <v>198</v>
      </c>
      <c r="F56">
        <v>139.80000000000001</v>
      </c>
      <c r="G56">
        <v>2978</v>
      </c>
      <c r="H56">
        <v>897</v>
      </c>
      <c r="I56">
        <v>436</v>
      </c>
      <c r="J56">
        <v>1</v>
      </c>
      <c r="K56">
        <v>1628</v>
      </c>
      <c r="L56">
        <v>16</v>
      </c>
      <c r="N56">
        <v>982</v>
      </c>
      <c r="O56">
        <v>982</v>
      </c>
      <c r="P56">
        <v>901</v>
      </c>
      <c r="Q56">
        <v>57</v>
      </c>
      <c r="R56">
        <v>20</v>
      </c>
      <c r="S56">
        <v>4</v>
      </c>
    </row>
    <row r="57" spans="1:19" x14ac:dyDescent="0.25">
      <c r="A57">
        <v>3554805</v>
      </c>
      <c r="B57" t="s">
        <v>199</v>
      </c>
      <c r="C57">
        <v>6</v>
      </c>
      <c r="D57" t="s">
        <v>200</v>
      </c>
      <c r="E57" t="s">
        <v>201</v>
      </c>
      <c r="F57">
        <v>17</v>
      </c>
      <c r="G57">
        <v>2788</v>
      </c>
      <c r="H57">
        <v>1366</v>
      </c>
      <c r="I57">
        <v>196</v>
      </c>
      <c r="J57">
        <v>1</v>
      </c>
      <c r="K57">
        <v>1223</v>
      </c>
      <c r="L57">
        <v>2</v>
      </c>
      <c r="N57">
        <v>1166</v>
      </c>
      <c r="O57">
        <v>1166</v>
      </c>
      <c r="P57">
        <v>902</v>
      </c>
      <c r="Q57">
        <v>146</v>
      </c>
      <c r="R57">
        <v>117</v>
      </c>
      <c r="S57">
        <v>1</v>
      </c>
    </row>
    <row r="58" spans="1:19" x14ac:dyDescent="0.25">
      <c r="A58">
        <v>3550605</v>
      </c>
      <c r="B58" t="s">
        <v>202</v>
      </c>
      <c r="C58">
        <v>7</v>
      </c>
      <c r="D58" t="s">
        <v>203</v>
      </c>
      <c r="E58" t="s">
        <v>204</v>
      </c>
      <c r="F58">
        <v>53.1</v>
      </c>
      <c r="G58">
        <v>2521</v>
      </c>
      <c r="H58">
        <v>1054</v>
      </c>
      <c r="I58">
        <v>254</v>
      </c>
      <c r="J58">
        <v>8</v>
      </c>
      <c r="K58">
        <v>1205</v>
      </c>
      <c r="N58">
        <v>884</v>
      </c>
      <c r="O58">
        <v>884</v>
      </c>
      <c r="P58">
        <v>791</v>
      </c>
      <c r="Q58">
        <v>73</v>
      </c>
      <c r="R58">
        <v>19</v>
      </c>
      <c r="S58">
        <v>1</v>
      </c>
    </row>
    <row r="59" spans="1:19" x14ac:dyDescent="0.25">
      <c r="A59">
        <v>3506607</v>
      </c>
      <c r="B59" t="s">
        <v>205</v>
      </c>
      <c r="C59">
        <v>4</v>
      </c>
      <c r="D59" t="s">
        <v>206</v>
      </c>
      <c r="E59" t="s">
        <v>207</v>
      </c>
      <c r="F59">
        <v>164.4</v>
      </c>
      <c r="G59">
        <v>2400</v>
      </c>
      <c r="H59">
        <v>1023</v>
      </c>
      <c r="I59">
        <v>191</v>
      </c>
      <c r="K59">
        <v>1181</v>
      </c>
      <c r="L59">
        <v>5</v>
      </c>
      <c r="N59">
        <v>886</v>
      </c>
      <c r="O59">
        <v>886</v>
      </c>
      <c r="P59">
        <v>795</v>
      </c>
      <c r="Q59">
        <v>70</v>
      </c>
      <c r="R59">
        <v>21</v>
      </c>
    </row>
    <row r="60" spans="1:19" x14ac:dyDescent="0.25">
      <c r="A60">
        <v>3539806</v>
      </c>
      <c r="B60" t="s">
        <v>208</v>
      </c>
      <c r="C60">
        <v>4</v>
      </c>
      <c r="D60" t="s">
        <v>209</v>
      </c>
      <c r="E60" t="s">
        <v>210</v>
      </c>
      <c r="F60">
        <v>75</v>
      </c>
      <c r="G60">
        <v>2040</v>
      </c>
      <c r="H60">
        <v>723</v>
      </c>
      <c r="I60">
        <v>254</v>
      </c>
      <c r="J60">
        <v>4</v>
      </c>
      <c r="K60">
        <v>1055</v>
      </c>
      <c r="L60">
        <v>4</v>
      </c>
      <c r="N60">
        <v>775</v>
      </c>
      <c r="O60">
        <v>775</v>
      </c>
      <c r="P60">
        <v>677</v>
      </c>
      <c r="Q60">
        <v>73</v>
      </c>
      <c r="R60">
        <v>25</v>
      </c>
    </row>
    <row r="61" spans="1:19" x14ac:dyDescent="0.25">
      <c r="A61">
        <v>3512803</v>
      </c>
      <c r="B61" t="s">
        <v>211</v>
      </c>
      <c r="C61">
        <v>4</v>
      </c>
      <c r="D61" t="s">
        <v>212</v>
      </c>
      <c r="E61" t="s">
        <v>213</v>
      </c>
      <c r="F61">
        <v>100.1</v>
      </c>
      <c r="G61">
        <v>1652</v>
      </c>
      <c r="H61">
        <v>468</v>
      </c>
      <c r="I61">
        <v>250</v>
      </c>
      <c r="J61">
        <v>1</v>
      </c>
      <c r="K61">
        <v>933</v>
      </c>
      <c r="N61">
        <v>716</v>
      </c>
      <c r="O61">
        <v>716</v>
      </c>
      <c r="P61">
        <v>597</v>
      </c>
      <c r="Q61">
        <v>73</v>
      </c>
      <c r="R61">
        <v>44</v>
      </c>
      <c r="S61">
        <v>2</v>
      </c>
    </row>
    <row r="62" spans="1:19" x14ac:dyDescent="0.25">
      <c r="A62">
        <v>3550407</v>
      </c>
      <c r="B62" t="s">
        <v>214</v>
      </c>
      <c r="C62">
        <v>1</v>
      </c>
      <c r="D62" t="s">
        <v>215</v>
      </c>
      <c r="E62" t="s">
        <v>216</v>
      </c>
      <c r="F62">
        <v>74.5</v>
      </c>
      <c r="G62">
        <v>1557</v>
      </c>
      <c r="H62">
        <v>704</v>
      </c>
      <c r="I62">
        <v>107</v>
      </c>
      <c r="K62">
        <v>746</v>
      </c>
      <c r="N62">
        <v>472</v>
      </c>
      <c r="O62">
        <v>472</v>
      </c>
      <c r="P62">
        <v>441</v>
      </c>
      <c r="Q62">
        <v>16</v>
      </c>
      <c r="R62">
        <v>1</v>
      </c>
      <c r="S62">
        <v>14</v>
      </c>
    </row>
    <row r="63" spans="1:19" x14ac:dyDescent="0.25">
      <c r="A63">
        <v>3503901</v>
      </c>
      <c r="B63" t="s">
        <v>217</v>
      </c>
      <c r="C63">
        <v>4</v>
      </c>
      <c r="D63" t="s">
        <v>218</v>
      </c>
      <c r="E63" t="s">
        <v>219</v>
      </c>
      <c r="F63">
        <v>40.5</v>
      </c>
      <c r="G63">
        <v>1368</v>
      </c>
      <c r="H63">
        <v>466</v>
      </c>
      <c r="I63">
        <v>143</v>
      </c>
      <c r="J63">
        <v>1</v>
      </c>
      <c r="K63">
        <v>758</v>
      </c>
      <c r="N63">
        <v>460</v>
      </c>
      <c r="O63">
        <v>460</v>
      </c>
      <c r="P63">
        <v>409</v>
      </c>
      <c r="Q63">
        <v>32</v>
      </c>
      <c r="R63">
        <v>19</v>
      </c>
    </row>
    <row r="64" spans="1:19" x14ac:dyDescent="0.25">
      <c r="A64">
        <v>3519709</v>
      </c>
      <c r="B64" t="s">
        <v>220</v>
      </c>
      <c r="C64">
        <v>3</v>
      </c>
      <c r="D64" t="s">
        <v>221</v>
      </c>
      <c r="E64" t="s">
        <v>222</v>
      </c>
      <c r="F64">
        <v>63.2</v>
      </c>
      <c r="G64">
        <v>1252</v>
      </c>
      <c r="H64">
        <v>625</v>
      </c>
      <c r="I64">
        <v>121</v>
      </c>
      <c r="J64">
        <v>6</v>
      </c>
      <c r="K64">
        <v>491</v>
      </c>
      <c r="L64">
        <v>9</v>
      </c>
      <c r="N64">
        <v>466</v>
      </c>
      <c r="O64">
        <v>466</v>
      </c>
      <c r="P64">
        <v>408</v>
      </c>
      <c r="Q64">
        <v>49</v>
      </c>
      <c r="R64">
        <v>8</v>
      </c>
      <c r="S64">
        <v>1</v>
      </c>
    </row>
    <row r="65" spans="1:19" x14ac:dyDescent="0.25">
      <c r="A65">
        <v>3540705</v>
      </c>
      <c r="B65" t="s">
        <v>223</v>
      </c>
      <c r="C65">
        <v>1</v>
      </c>
      <c r="D65" t="s">
        <v>224</v>
      </c>
      <c r="E65" t="s">
        <v>225</v>
      </c>
      <c r="F65">
        <v>73</v>
      </c>
      <c r="G65">
        <v>1234</v>
      </c>
      <c r="H65">
        <v>343</v>
      </c>
      <c r="I65">
        <v>97</v>
      </c>
      <c r="K65">
        <v>794</v>
      </c>
      <c r="N65">
        <v>430</v>
      </c>
      <c r="O65">
        <v>430</v>
      </c>
      <c r="P65">
        <v>375</v>
      </c>
      <c r="Q65">
        <v>48</v>
      </c>
      <c r="R65">
        <v>7</v>
      </c>
    </row>
    <row r="66" spans="1:19" x14ac:dyDescent="0.25">
      <c r="A66">
        <v>3513405</v>
      </c>
      <c r="B66" t="s">
        <v>226</v>
      </c>
      <c r="C66">
        <v>4</v>
      </c>
      <c r="D66" t="s">
        <v>227</v>
      </c>
      <c r="E66" t="s">
        <v>228</v>
      </c>
      <c r="F66">
        <v>88</v>
      </c>
      <c r="G66">
        <v>1109</v>
      </c>
      <c r="H66">
        <v>499</v>
      </c>
      <c r="I66">
        <v>114</v>
      </c>
      <c r="J66">
        <v>1</v>
      </c>
      <c r="K66">
        <v>495</v>
      </c>
      <c r="N66">
        <v>393</v>
      </c>
      <c r="O66">
        <v>393</v>
      </c>
      <c r="P66">
        <v>344</v>
      </c>
      <c r="Q66">
        <v>26</v>
      </c>
      <c r="R66">
        <v>22</v>
      </c>
      <c r="S66">
        <v>1</v>
      </c>
    </row>
    <row r="67" spans="1:19" x14ac:dyDescent="0.25">
      <c r="A67">
        <v>3527207</v>
      </c>
      <c r="B67" t="s">
        <v>229</v>
      </c>
      <c r="C67">
        <v>1</v>
      </c>
      <c r="D67" t="s">
        <v>230</v>
      </c>
      <c r="E67" t="s">
        <v>231</v>
      </c>
      <c r="F67">
        <v>85.4</v>
      </c>
      <c r="G67">
        <v>1025</v>
      </c>
      <c r="H67">
        <v>419</v>
      </c>
      <c r="I67">
        <v>93</v>
      </c>
      <c r="K67">
        <v>513</v>
      </c>
      <c r="N67">
        <v>336</v>
      </c>
      <c r="O67">
        <v>336</v>
      </c>
      <c r="P67">
        <v>306</v>
      </c>
      <c r="Q67">
        <v>24</v>
      </c>
      <c r="R67">
        <v>6</v>
      </c>
    </row>
    <row r="68" spans="1:19" x14ac:dyDescent="0.25">
      <c r="A68">
        <v>3518404</v>
      </c>
      <c r="B68" t="s">
        <v>232</v>
      </c>
      <c r="C68">
        <v>1</v>
      </c>
      <c r="D68" t="s">
        <v>233</v>
      </c>
      <c r="E68" t="s">
        <v>234</v>
      </c>
      <c r="F68">
        <v>44.1</v>
      </c>
      <c r="G68">
        <v>1011</v>
      </c>
      <c r="H68">
        <v>452</v>
      </c>
      <c r="I68">
        <v>89</v>
      </c>
      <c r="K68">
        <v>470</v>
      </c>
      <c r="N68">
        <v>360</v>
      </c>
      <c r="O68">
        <v>360</v>
      </c>
      <c r="P68">
        <v>246</v>
      </c>
      <c r="Q68">
        <v>48</v>
      </c>
      <c r="R68">
        <v>3</v>
      </c>
      <c r="S68">
        <v>63</v>
      </c>
    </row>
    <row r="69" spans="1:19" x14ac:dyDescent="0.25">
      <c r="A69">
        <v>3546405</v>
      </c>
      <c r="B69" t="s">
        <v>235</v>
      </c>
      <c r="C69">
        <v>1</v>
      </c>
      <c r="D69" t="s">
        <v>236</v>
      </c>
      <c r="E69" t="s">
        <v>237</v>
      </c>
      <c r="F69">
        <v>55</v>
      </c>
      <c r="G69">
        <v>995</v>
      </c>
      <c r="H69">
        <v>415</v>
      </c>
      <c r="I69">
        <v>144</v>
      </c>
      <c r="K69">
        <v>435</v>
      </c>
      <c r="L69">
        <v>1</v>
      </c>
      <c r="N69">
        <v>323</v>
      </c>
      <c r="O69">
        <v>323</v>
      </c>
      <c r="P69">
        <v>293</v>
      </c>
      <c r="Q69">
        <v>25</v>
      </c>
      <c r="R69">
        <v>5</v>
      </c>
    </row>
    <row r="70" spans="1:19" x14ac:dyDescent="0.25">
      <c r="A70">
        <v>3508405</v>
      </c>
      <c r="B70" t="s">
        <v>238</v>
      </c>
      <c r="C70">
        <v>4</v>
      </c>
      <c r="D70" t="s">
        <v>239</v>
      </c>
      <c r="E70" t="s">
        <v>240</v>
      </c>
      <c r="F70">
        <v>84.1</v>
      </c>
      <c r="G70">
        <v>950</v>
      </c>
      <c r="H70">
        <v>391</v>
      </c>
      <c r="I70">
        <v>61</v>
      </c>
      <c r="K70">
        <v>498</v>
      </c>
      <c r="N70">
        <v>329</v>
      </c>
      <c r="O70">
        <v>329</v>
      </c>
      <c r="P70">
        <v>296</v>
      </c>
      <c r="Q70">
        <v>25</v>
      </c>
      <c r="R70">
        <v>8</v>
      </c>
    </row>
    <row r="71" spans="1:19" x14ac:dyDescent="0.25">
      <c r="A71">
        <v>3515103</v>
      </c>
      <c r="B71" t="s">
        <v>241</v>
      </c>
      <c r="C71">
        <v>4</v>
      </c>
      <c r="D71" t="s">
        <v>242</v>
      </c>
      <c r="E71" t="s">
        <v>243</v>
      </c>
      <c r="F71">
        <v>111.4</v>
      </c>
      <c r="G71">
        <v>902</v>
      </c>
      <c r="H71">
        <v>281</v>
      </c>
      <c r="I71">
        <v>76</v>
      </c>
      <c r="J71">
        <v>4</v>
      </c>
      <c r="K71">
        <v>540</v>
      </c>
      <c r="L71">
        <v>1</v>
      </c>
      <c r="N71">
        <v>343</v>
      </c>
      <c r="O71">
        <v>343</v>
      </c>
      <c r="P71">
        <v>289</v>
      </c>
      <c r="Q71">
        <v>42</v>
      </c>
      <c r="R71">
        <v>12</v>
      </c>
    </row>
    <row r="72" spans="1:19" x14ac:dyDescent="0.25">
      <c r="A72">
        <v>3504909</v>
      </c>
      <c r="B72" t="s">
        <v>244</v>
      </c>
      <c r="C72">
        <v>2</v>
      </c>
      <c r="D72" t="s">
        <v>245</v>
      </c>
      <c r="E72" t="s">
        <v>246</v>
      </c>
      <c r="F72">
        <v>59.9</v>
      </c>
      <c r="G72">
        <v>850</v>
      </c>
      <c r="H72">
        <v>320</v>
      </c>
      <c r="I72">
        <v>124</v>
      </c>
      <c r="J72">
        <v>1</v>
      </c>
      <c r="K72">
        <v>405</v>
      </c>
      <c r="N72">
        <v>393</v>
      </c>
      <c r="O72">
        <v>393</v>
      </c>
      <c r="P72">
        <v>307</v>
      </c>
      <c r="Q72">
        <v>66</v>
      </c>
      <c r="R72">
        <v>20</v>
      </c>
    </row>
    <row r="73" spans="1:19" x14ac:dyDescent="0.25">
      <c r="A73">
        <v>3548906</v>
      </c>
      <c r="B73" t="s">
        <v>247</v>
      </c>
      <c r="C73">
        <v>5</v>
      </c>
      <c r="D73" t="s">
        <v>248</v>
      </c>
      <c r="E73" t="s">
        <v>249</v>
      </c>
      <c r="F73">
        <v>46.9</v>
      </c>
      <c r="G73">
        <v>798</v>
      </c>
      <c r="H73">
        <v>230</v>
      </c>
      <c r="I73">
        <v>94</v>
      </c>
      <c r="J73">
        <v>1</v>
      </c>
      <c r="K73">
        <v>472</v>
      </c>
      <c r="L73">
        <v>1</v>
      </c>
      <c r="N73">
        <v>281</v>
      </c>
      <c r="O73">
        <v>281</v>
      </c>
      <c r="P73">
        <v>147</v>
      </c>
      <c r="Q73">
        <v>8</v>
      </c>
      <c r="R73">
        <v>14</v>
      </c>
      <c r="S73">
        <v>112</v>
      </c>
    </row>
    <row r="74" spans="1:19" x14ac:dyDescent="0.25">
      <c r="A74">
        <v>3510401</v>
      </c>
      <c r="B74" t="s">
        <v>250</v>
      </c>
      <c r="C74">
        <v>3</v>
      </c>
      <c r="D74" t="s">
        <v>251</v>
      </c>
      <c r="E74" t="s">
        <v>252</v>
      </c>
      <c r="F74">
        <v>40.700000000000003</v>
      </c>
      <c r="G74">
        <v>757</v>
      </c>
      <c r="H74">
        <v>257</v>
      </c>
      <c r="I74">
        <v>91</v>
      </c>
      <c r="K74">
        <v>408</v>
      </c>
      <c r="L74">
        <v>1</v>
      </c>
      <c r="N74">
        <v>303</v>
      </c>
      <c r="O74">
        <v>303</v>
      </c>
      <c r="P74">
        <v>246</v>
      </c>
      <c r="Q74">
        <v>38</v>
      </c>
      <c r="R74">
        <v>18</v>
      </c>
      <c r="S74">
        <v>1</v>
      </c>
    </row>
    <row r="75" spans="1:19" x14ac:dyDescent="0.25">
      <c r="A75">
        <v>3523602</v>
      </c>
      <c r="B75" t="s">
        <v>253</v>
      </c>
      <c r="C75">
        <v>2</v>
      </c>
      <c r="D75" t="s">
        <v>254</v>
      </c>
      <c r="E75" t="s">
        <v>255</v>
      </c>
      <c r="F75">
        <v>37.299999999999997</v>
      </c>
      <c r="G75">
        <v>757</v>
      </c>
      <c r="H75">
        <v>321</v>
      </c>
      <c r="I75">
        <v>71</v>
      </c>
      <c r="K75">
        <v>365</v>
      </c>
      <c r="N75">
        <v>314</v>
      </c>
      <c r="O75">
        <v>314</v>
      </c>
      <c r="P75">
        <v>265</v>
      </c>
      <c r="Q75">
        <v>35</v>
      </c>
      <c r="R75">
        <v>14</v>
      </c>
    </row>
    <row r="76" spans="1:19" x14ac:dyDescent="0.25">
      <c r="A76">
        <v>3507506</v>
      </c>
      <c r="B76" t="s">
        <v>256</v>
      </c>
      <c r="C76">
        <v>2</v>
      </c>
      <c r="D76" t="s">
        <v>257</v>
      </c>
      <c r="E76" t="s">
        <v>258</v>
      </c>
      <c r="F76">
        <v>51.9</v>
      </c>
      <c r="G76">
        <v>602</v>
      </c>
      <c r="H76">
        <v>235</v>
      </c>
      <c r="I76">
        <v>52</v>
      </c>
      <c r="J76">
        <v>2</v>
      </c>
      <c r="K76">
        <v>313</v>
      </c>
      <c r="N76">
        <v>258</v>
      </c>
      <c r="O76">
        <v>258</v>
      </c>
      <c r="P76">
        <v>203</v>
      </c>
      <c r="Q76">
        <v>50</v>
      </c>
      <c r="R76">
        <v>5</v>
      </c>
    </row>
    <row r="77" spans="1:19" x14ac:dyDescent="0.25">
      <c r="A77">
        <v>3528403</v>
      </c>
      <c r="B77" t="s">
        <v>259</v>
      </c>
      <c r="C77">
        <v>2</v>
      </c>
      <c r="D77" t="s">
        <v>260</v>
      </c>
      <c r="E77" t="s">
        <v>261</v>
      </c>
      <c r="F77">
        <v>20.7</v>
      </c>
      <c r="G77">
        <v>572</v>
      </c>
      <c r="H77">
        <v>156</v>
      </c>
      <c r="I77">
        <v>60</v>
      </c>
      <c r="J77">
        <v>3</v>
      </c>
      <c r="K77">
        <v>352</v>
      </c>
      <c r="L77">
        <v>1</v>
      </c>
      <c r="N77">
        <v>210</v>
      </c>
      <c r="O77">
        <v>210</v>
      </c>
      <c r="P77">
        <v>179</v>
      </c>
      <c r="Q77">
        <v>28</v>
      </c>
      <c r="R77">
        <v>3</v>
      </c>
    </row>
    <row r="78" spans="1:19" x14ac:dyDescent="0.25">
      <c r="A78">
        <v>3522109</v>
      </c>
      <c r="B78" t="s">
        <v>262</v>
      </c>
      <c r="C78">
        <v>3</v>
      </c>
      <c r="D78" t="s">
        <v>263</v>
      </c>
      <c r="E78" t="s">
        <v>264</v>
      </c>
      <c r="F78">
        <v>43.6</v>
      </c>
      <c r="G78">
        <v>554</v>
      </c>
      <c r="H78">
        <v>214</v>
      </c>
      <c r="I78">
        <v>49</v>
      </c>
      <c r="K78">
        <v>290</v>
      </c>
      <c r="L78">
        <v>1</v>
      </c>
      <c r="N78">
        <v>279</v>
      </c>
      <c r="O78">
        <v>279</v>
      </c>
      <c r="P78">
        <v>192</v>
      </c>
      <c r="Q78">
        <v>24</v>
      </c>
      <c r="R78">
        <v>63</v>
      </c>
    </row>
    <row r="79" spans="1:19" x14ac:dyDescent="0.25">
      <c r="A79">
        <v>3543907</v>
      </c>
      <c r="B79" t="s">
        <v>265</v>
      </c>
      <c r="C79">
        <v>3</v>
      </c>
      <c r="D79" t="s">
        <v>266</v>
      </c>
      <c r="E79" t="s">
        <v>267</v>
      </c>
      <c r="F79">
        <v>25.9</v>
      </c>
      <c r="G79">
        <v>546</v>
      </c>
      <c r="H79">
        <v>174</v>
      </c>
      <c r="I79">
        <v>76</v>
      </c>
      <c r="K79">
        <v>296</v>
      </c>
      <c r="N79">
        <v>206</v>
      </c>
      <c r="O79">
        <v>206</v>
      </c>
      <c r="P79">
        <v>171</v>
      </c>
      <c r="Q79">
        <v>17</v>
      </c>
      <c r="R79">
        <v>4</v>
      </c>
      <c r="S79">
        <v>14</v>
      </c>
    </row>
    <row r="80" spans="1:19" x14ac:dyDescent="0.25">
      <c r="A80">
        <v>3501608</v>
      </c>
      <c r="B80" t="s">
        <v>268</v>
      </c>
      <c r="C80">
        <v>1</v>
      </c>
      <c r="D80" t="s">
        <v>269</v>
      </c>
      <c r="E80" t="s">
        <v>270</v>
      </c>
      <c r="F80">
        <v>64.099999999999994</v>
      </c>
      <c r="G80">
        <v>481</v>
      </c>
      <c r="H80">
        <v>145</v>
      </c>
      <c r="I80">
        <v>60</v>
      </c>
      <c r="K80">
        <v>276</v>
      </c>
      <c r="N80">
        <v>174</v>
      </c>
      <c r="O80">
        <v>174</v>
      </c>
      <c r="P80">
        <v>163</v>
      </c>
      <c r="Q80">
        <v>11</v>
      </c>
    </row>
    <row r="81" spans="1:20" x14ac:dyDescent="0.25">
      <c r="A81">
        <v>3512407</v>
      </c>
      <c r="B81" t="s">
        <v>271</v>
      </c>
      <c r="C81">
        <v>2</v>
      </c>
      <c r="D81" t="s">
        <v>272</v>
      </c>
      <c r="E81" t="s">
        <v>273</v>
      </c>
      <c r="F81">
        <v>74.8</v>
      </c>
      <c r="G81">
        <v>359</v>
      </c>
      <c r="H81">
        <v>121</v>
      </c>
      <c r="I81">
        <v>80</v>
      </c>
      <c r="K81">
        <v>158</v>
      </c>
      <c r="N81">
        <v>100</v>
      </c>
      <c r="O81">
        <v>100</v>
      </c>
      <c r="P81">
        <v>100</v>
      </c>
    </row>
    <row r="82" spans="1:20" x14ac:dyDescent="0.25">
      <c r="A82">
        <v>3501905</v>
      </c>
      <c r="B82" t="s">
        <v>274</v>
      </c>
      <c r="C82">
        <v>1</v>
      </c>
      <c r="D82" t="s">
        <v>275</v>
      </c>
      <c r="E82" t="s">
        <v>276</v>
      </c>
      <c r="F82">
        <v>18.8</v>
      </c>
      <c r="G82">
        <v>359</v>
      </c>
      <c r="H82">
        <v>130</v>
      </c>
      <c r="I82">
        <v>46</v>
      </c>
      <c r="K82">
        <v>183</v>
      </c>
      <c r="N82">
        <v>145</v>
      </c>
      <c r="O82">
        <v>144</v>
      </c>
      <c r="P82">
        <v>110</v>
      </c>
      <c r="Q82">
        <v>17</v>
      </c>
      <c r="R82">
        <v>17</v>
      </c>
      <c r="T82">
        <v>1</v>
      </c>
    </row>
    <row r="83" spans="1:20" x14ac:dyDescent="0.25">
      <c r="A83">
        <v>3508504</v>
      </c>
      <c r="B83" t="s">
        <v>277</v>
      </c>
      <c r="C83">
        <v>1</v>
      </c>
      <c r="D83" t="s">
        <v>278</v>
      </c>
      <c r="E83" t="s">
        <v>279</v>
      </c>
      <c r="F83">
        <v>127</v>
      </c>
      <c r="G83">
        <v>343</v>
      </c>
      <c r="H83">
        <v>110</v>
      </c>
      <c r="I83">
        <v>24</v>
      </c>
      <c r="K83">
        <v>209</v>
      </c>
      <c r="N83">
        <v>126</v>
      </c>
      <c r="O83">
        <v>126</v>
      </c>
      <c r="P83">
        <v>104</v>
      </c>
      <c r="Q83">
        <v>21</v>
      </c>
      <c r="R83">
        <v>1</v>
      </c>
    </row>
    <row r="84" spans="1:20" x14ac:dyDescent="0.25">
      <c r="A84">
        <v>3545209</v>
      </c>
      <c r="B84" t="s">
        <v>280</v>
      </c>
      <c r="C84">
        <v>1</v>
      </c>
      <c r="D84" t="s">
        <v>281</v>
      </c>
      <c r="E84" t="s">
        <v>282</v>
      </c>
      <c r="F84">
        <v>279.2</v>
      </c>
      <c r="G84">
        <v>335</v>
      </c>
      <c r="H84">
        <v>111</v>
      </c>
      <c r="I84">
        <v>53</v>
      </c>
      <c r="K84">
        <v>169</v>
      </c>
      <c r="L84">
        <v>2</v>
      </c>
      <c r="N84">
        <v>131</v>
      </c>
      <c r="O84">
        <v>131</v>
      </c>
      <c r="P84">
        <v>113</v>
      </c>
      <c r="Q84">
        <v>17</v>
      </c>
      <c r="R84">
        <v>1</v>
      </c>
    </row>
    <row r="85" spans="1:20" x14ac:dyDescent="0.25">
      <c r="A85">
        <v>3537602</v>
      </c>
      <c r="B85" t="s">
        <v>283</v>
      </c>
      <c r="C85">
        <v>1</v>
      </c>
      <c r="D85" t="s">
        <v>284</v>
      </c>
      <c r="E85" t="s">
        <v>285</v>
      </c>
      <c r="F85">
        <v>86.6</v>
      </c>
      <c r="G85">
        <v>277</v>
      </c>
      <c r="H85">
        <v>86</v>
      </c>
      <c r="I85">
        <v>30</v>
      </c>
      <c r="K85">
        <v>161</v>
      </c>
      <c r="N85">
        <v>98</v>
      </c>
      <c r="O85">
        <v>98</v>
      </c>
      <c r="P85">
        <v>87</v>
      </c>
      <c r="Q85">
        <v>9</v>
      </c>
      <c r="R85">
        <v>2</v>
      </c>
    </row>
    <row r="86" spans="1:20" x14ac:dyDescent="0.25">
      <c r="A86">
        <v>3519501</v>
      </c>
      <c r="B86" t="s">
        <v>286</v>
      </c>
      <c r="C86">
        <v>1</v>
      </c>
      <c r="D86" t="s">
        <v>278</v>
      </c>
      <c r="E86" t="s">
        <v>279</v>
      </c>
      <c r="F86">
        <v>99.3</v>
      </c>
      <c r="G86">
        <v>268</v>
      </c>
      <c r="H86">
        <v>114</v>
      </c>
      <c r="I86">
        <v>31</v>
      </c>
      <c r="K86">
        <v>123</v>
      </c>
      <c r="N86">
        <v>107</v>
      </c>
      <c r="O86">
        <v>107</v>
      </c>
      <c r="P86">
        <v>87</v>
      </c>
      <c r="Q86">
        <v>18</v>
      </c>
      <c r="R86">
        <v>2</v>
      </c>
    </row>
    <row r="87" spans="1:20" x14ac:dyDescent="0.25">
      <c r="A87">
        <v>3527306</v>
      </c>
      <c r="B87" t="s">
        <v>287</v>
      </c>
      <c r="C87">
        <v>1</v>
      </c>
      <c r="D87" t="s">
        <v>288</v>
      </c>
      <c r="E87" t="s">
        <v>289</v>
      </c>
      <c r="F87">
        <v>223.6</v>
      </c>
      <c r="G87">
        <v>246</v>
      </c>
      <c r="H87">
        <v>94</v>
      </c>
      <c r="I87">
        <v>13</v>
      </c>
      <c r="K87">
        <v>139</v>
      </c>
      <c r="N87">
        <v>79</v>
      </c>
      <c r="O87">
        <v>79</v>
      </c>
      <c r="P87">
        <v>79</v>
      </c>
    </row>
    <row r="88" spans="1:20" x14ac:dyDescent="0.25">
      <c r="A88">
        <v>3507605</v>
      </c>
      <c r="B88" t="s">
        <v>290</v>
      </c>
      <c r="C88">
        <v>1</v>
      </c>
      <c r="D88" t="s">
        <v>291</v>
      </c>
      <c r="E88" t="s">
        <v>292</v>
      </c>
      <c r="F88">
        <v>117.4</v>
      </c>
      <c r="G88">
        <v>223</v>
      </c>
      <c r="H88">
        <v>95</v>
      </c>
      <c r="I88">
        <v>17</v>
      </c>
      <c r="K88">
        <v>111</v>
      </c>
      <c r="N88">
        <v>90</v>
      </c>
      <c r="O88">
        <v>90</v>
      </c>
      <c r="P88">
        <v>83</v>
      </c>
      <c r="Q88">
        <v>1</v>
      </c>
      <c r="R88">
        <v>2</v>
      </c>
      <c r="S88">
        <v>4</v>
      </c>
    </row>
    <row r="89" spans="1:20" x14ac:dyDescent="0.25">
      <c r="A89">
        <v>3504503</v>
      </c>
      <c r="B89" t="s">
        <v>293</v>
      </c>
      <c r="C89">
        <v>1</v>
      </c>
      <c r="D89" t="s">
        <v>294</v>
      </c>
      <c r="E89" t="s">
        <v>295</v>
      </c>
      <c r="F89">
        <v>30.9</v>
      </c>
      <c r="G89">
        <v>170</v>
      </c>
      <c r="H89">
        <v>63</v>
      </c>
      <c r="I89">
        <v>12</v>
      </c>
      <c r="K89">
        <v>95</v>
      </c>
      <c r="N89">
        <v>70</v>
      </c>
      <c r="O89">
        <v>70</v>
      </c>
      <c r="P89">
        <v>24</v>
      </c>
      <c r="Q89">
        <v>20</v>
      </c>
      <c r="R89">
        <v>1</v>
      </c>
      <c r="S89">
        <v>25</v>
      </c>
    </row>
    <row r="90" spans="1:20" x14ac:dyDescent="0.25">
      <c r="A90">
        <v>3536703</v>
      </c>
      <c r="B90" t="s">
        <v>296</v>
      </c>
      <c r="C90">
        <v>1</v>
      </c>
      <c r="D90" t="s">
        <v>297</v>
      </c>
      <c r="E90" t="s">
        <v>298</v>
      </c>
      <c r="F90">
        <v>4</v>
      </c>
      <c r="G90">
        <v>158</v>
      </c>
      <c r="H90">
        <v>76</v>
      </c>
      <c r="I90">
        <v>13</v>
      </c>
      <c r="J90">
        <v>1</v>
      </c>
      <c r="K90">
        <v>68</v>
      </c>
      <c r="N90">
        <v>101</v>
      </c>
      <c r="O90">
        <v>101</v>
      </c>
      <c r="P90">
        <v>58</v>
      </c>
      <c r="Q90">
        <v>10</v>
      </c>
      <c r="R90">
        <v>29</v>
      </c>
      <c r="S90">
        <v>4</v>
      </c>
    </row>
    <row r="91" spans="1:20" x14ac:dyDescent="0.25">
      <c r="A91">
        <v>3552700</v>
      </c>
      <c r="B91" t="s">
        <v>299</v>
      </c>
      <c r="C91">
        <v>1</v>
      </c>
      <c r="D91" t="s">
        <v>300</v>
      </c>
      <c r="E91" t="s">
        <v>301</v>
      </c>
      <c r="F91">
        <v>110</v>
      </c>
      <c r="G91">
        <v>154</v>
      </c>
      <c r="H91">
        <v>39</v>
      </c>
      <c r="I91">
        <v>12</v>
      </c>
      <c r="K91">
        <v>103</v>
      </c>
      <c r="N91">
        <v>63</v>
      </c>
      <c r="O91">
        <v>63</v>
      </c>
      <c r="P91">
        <v>55</v>
      </c>
      <c r="Q91">
        <v>8</v>
      </c>
    </row>
    <row r="92" spans="1:20" x14ac:dyDescent="0.25">
      <c r="A92">
        <v>3538006</v>
      </c>
      <c r="B92" t="s">
        <v>302</v>
      </c>
      <c r="C92">
        <v>1</v>
      </c>
      <c r="D92" t="s">
        <v>303</v>
      </c>
      <c r="E92" t="s">
        <v>304</v>
      </c>
      <c r="F92">
        <v>59.2</v>
      </c>
      <c r="G92">
        <v>148</v>
      </c>
      <c r="H92">
        <v>56</v>
      </c>
      <c r="I92">
        <v>29</v>
      </c>
      <c r="K92">
        <v>63</v>
      </c>
      <c r="N92">
        <v>60</v>
      </c>
      <c r="O92">
        <v>60</v>
      </c>
      <c r="P92">
        <v>48</v>
      </c>
      <c r="Q92">
        <v>10</v>
      </c>
      <c r="R92">
        <v>2</v>
      </c>
    </row>
    <row r="93" spans="1:20" x14ac:dyDescent="0.25">
      <c r="A93">
        <v>3541307</v>
      </c>
      <c r="B93" t="s">
        <v>305</v>
      </c>
      <c r="C93">
        <v>1</v>
      </c>
      <c r="D93" t="s">
        <v>306</v>
      </c>
      <c r="E93" t="s">
        <v>307</v>
      </c>
      <c r="F93">
        <v>13.5</v>
      </c>
      <c r="G93">
        <v>96</v>
      </c>
      <c r="H93">
        <v>30</v>
      </c>
      <c r="I93">
        <v>5</v>
      </c>
      <c r="K93">
        <v>61</v>
      </c>
      <c r="N93">
        <v>46</v>
      </c>
      <c r="O93">
        <v>45</v>
      </c>
      <c r="P93">
        <v>33</v>
      </c>
      <c r="Q93">
        <v>8</v>
      </c>
      <c r="R93">
        <v>3</v>
      </c>
      <c r="S93">
        <v>1</v>
      </c>
      <c r="T93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P6" sqref="P6"/>
    </sheetView>
  </sheetViews>
  <sheetFormatPr defaultRowHeight="15" x14ac:dyDescent="0.25"/>
  <cols>
    <col min="1" max="2" width="45" customWidth="1"/>
    <col min="3" max="3" width="38" customWidth="1"/>
  </cols>
  <sheetData>
    <row r="1" spans="1:3" ht="21" customHeight="1" x14ac:dyDescent="0.35">
      <c r="A1" s="1" t="s">
        <v>0</v>
      </c>
      <c r="B1" t="s">
        <v>1</v>
      </c>
      <c r="C1" t="s">
        <v>2</v>
      </c>
    </row>
    <row r="2" spans="1:3" ht="21" customHeight="1" x14ac:dyDescent="0.35">
      <c r="A2" s="1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t="s">
        <v>7</v>
      </c>
      <c r="B5">
        <f>MAX(Dados!G2:G93)</f>
        <v>1728265</v>
      </c>
      <c r="C5">
        <f>MAX(Dados!G2:G93)</f>
        <v>1728265</v>
      </c>
    </row>
    <row r="6" spans="1:3" x14ac:dyDescent="0.25">
      <c r="A6" t="s">
        <v>8</v>
      </c>
      <c r="B6">
        <f>MAX(Dados!F2:F93)</f>
        <v>403.9</v>
      </c>
      <c r="C6">
        <f>MAX(Dados!F2:F93)</f>
        <v>403.9</v>
      </c>
    </row>
    <row r="7" spans="1:3" x14ac:dyDescent="0.25">
      <c r="A7" t="s">
        <v>9</v>
      </c>
      <c r="B7">
        <f>SUM(Dados!G2:G93)</f>
        <v>3630519</v>
      </c>
      <c r="C7">
        <f>SUM(Dados!G2:G93)</f>
        <v>3630519</v>
      </c>
    </row>
    <row r="8" spans="1:3" x14ac:dyDescent="0.25">
      <c r="A8" t="s">
        <v>10</v>
      </c>
      <c r="B8">
        <f>SUM(Dados!K2:K93)/SUM(Dados!G2:G93)</f>
        <v>0.52175708211415506</v>
      </c>
      <c r="C8" s="3">
        <f>SUM(Dados!K2:K93)/SUM(Dados!G2:G93)</f>
        <v>0.52175708211415506</v>
      </c>
    </row>
    <row r="9" spans="1:3" x14ac:dyDescent="0.25">
      <c r="A9" t="s">
        <v>11</v>
      </c>
      <c r="B9">
        <f>CORREL(Dados!C2:C93,Dados!G2:G93)</f>
        <v>0.9976400481668104</v>
      </c>
      <c r="C9" s="4">
        <f>CORREL(Dados!C2:C93,Dados!G2:G93)</f>
        <v>0.9976400481668104</v>
      </c>
    </row>
    <row r="11" spans="1:3" ht="30" customHeight="1" x14ac:dyDescent="0.25">
      <c r="A11" s="5" t="s">
        <v>12</v>
      </c>
      <c r="B11" s="6" t="s">
        <v>13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"/>
    </sheetView>
  </sheetViews>
  <sheetFormatPr defaultRowHeight="15" x14ac:dyDescent="0.25"/>
  <cols>
    <col min="1" max="1" width="28" customWidth="1"/>
    <col min="2" max="2" width="12" customWidth="1"/>
  </cols>
  <sheetData>
    <row r="1" spans="1:2" x14ac:dyDescent="0.25">
      <c r="A1" s="7" t="s">
        <v>15</v>
      </c>
      <c r="B1" s="7" t="s">
        <v>20</v>
      </c>
    </row>
    <row r="2" spans="1:2" x14ac:dyDescent="0.25">
      <c r="A2" t="s">
        <v>34</v>
      </c>
      <c r="B2">
        <v>1728265</v>
      </c>
    </row>
    <row r="3" spans="1:2" x14ac:dyDescent="0.25">
      <c r="A3" t="s">
        <v>37</v>
      </c>
      <c r="B3">
        <v>215969</v>
      </c>
    </row>
    <row r="4" spans="1:2" x14ac:dyDescent="0.25">
      <c r="A4" t="s">
        <v>40</v>
      </c>
      <c r="B4">
        <v>158274</v>
      </c>
    </row>
    <row r="5" spans="1:2" x14ac:dyDescent="0.25">
      <c r="A5" t="s">
        <v>43</v>
      </c>
      <c r="B5">
        <v>140784</v>
      </c>
    </row>
    <row r="6" spans="1:2" x14ac:dyDescent="0.25">
      <c r="A6" t="s">
        <v>46</v>
      </c>
      <c r="B6">
        <v>115251</v>
      </c>
    </row>
    <row r="7" spans="1:2" x14ac:dyDescent="0.25">
      <c r="A7" t="s">
        <v>49</v>
      </c>
      <c r="B7">
        <v>106010</v>
      </c>
    </row>
    <row r="8" spans="1:2" x14ac:dyDescent="0.25">
      <c r="A8" t="s">
        <v>52</v>
      </c>
      <c r="B8">
        <v>99187</v>
      </c>
    </row>
    <row r="9" spans="1:2" x14ac:dyDescent="0.25">
      <c r="A9" t="s">
        <v>55</v>
      </c>
      <c r="B9">
        <v>98207</v>
      </c>
    </row>
    <row r="10" spans="1:2" x14ac:dyDescent="0.25">
      <c r="A10" t="s">
        <v>58</v>
      </c>
      <c r="B10">
        <v>91317</v>
      </c>
    </row>
    <row r="11" spans="1:2" x14ac:dyDescent="0.25">
      <c r="A11" t="s">
        <v>61</v>
      </c>
      <c r="B11">
        <v>87887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" sqref="B1"/>
    </sheetView>
  </sheetViews>
  <sheetFormatPr defaultRowHeight="15" x14ac:dyDescent="0.25"/>
  <cols>
    <col min="1" max="1" width="28" customWidth="1"/>
    <col min="2" max="2" width="12" customWidth="1"/>
  </cols>
  <sheetData>
    <row r="1" spans="1:2" x14ac:dyDescent="0.25">
      <c r="A1" s="7" t="s">
        <v>15</v>
      </c>
      <c r="B1" s="7" t="s">
        <v>19</v>
      </c>
    </row>
    <row r="2" spans="1:2" x14ac:dyDescent="0.25">
      <c r="A2" t="s">
        <v>61</v>
      </c>
      <c r="B2">
        <v>403.9</v>
      </c>
    </row>
    <row r="3" spans="1:2" x14ac:dyDescent="0.25">
      <c r="A3" t="s">
        <v>55</v>
      </c>
      <c r="B3">
        <v>336.4</v>
      </c>
    </row>
    <row r="4" spans="1:2" x14ac:dyDescent="0.25">
      <c r="A4" t="s">
        <v>76</v>
      </c>
      <c r="B4">
        <v>304.60000000000002</v>
      </c>
    </row>
    <row r="5" spans="1:2" x14ac:dyDescent="0.25">
      <c r="A5" t="s">
        <v>142</v>
      </c>
      <c r="B5">
        <v>300.60000000000002</v>
      </c>
    </row>
    <row r="6" spans="1:2" x14ac:dyDescent="0.25">
      <c r="A6" t="s">
        <v>67</v>
      </c>
      <c r="B6">
        <v>299.5</v>
      </c>
    </row>
    <row r="7" spans="1:2" x14ac:dyDescent="0.25">
      <c r="A7" t="s">
        <v>40</v>
      </c>
      <c r="B7">
        <v>299</v>
      </c>
    </row>
    <row r="8" spans="1:2" x14ac:dyDescent="0.25">
      <c r="A8" t="s">
        <v>52</v>
      </c>
      <c r="B8">
        <v>291.5</v>
      </c>
    </row>
    <row r="9" spans="1:2" x14ac:dyDescent="0.25">
      <c r="A9" t="s">
        <v>280</v>
      </c>
      <c r="B9">
        <v>279.2</v>
      </c>
    </row>
    <row r="10" spans="1:2" x14ac:dyDescent="0.25">
      <c r="A10" t="s">
        <v>34</v>
      </c>
      <c r="B10">
        <v>271.60000000000002</v>
      </c>
    </row>
    <row r="11" spans="1:2" x14ac:dyDescent="0.25">
      <c r="A11" t="s">
        <v>169</v>
      </c>
      <c r="B11">
        <v>241.5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3"/>
  <sheetViews>
    <sheetView workbookViewId="0">
      <selection activeCell="B4" sqref="B4"/>
    </sheetView>
  </sheetViews>
  <sheetFormatPr defaultRowHeight="15" x14ac:dyDescent="0.25"/>
  <cols>
    <col min="1" max="2" width="12" customWidth="1"/>
  </cols>
  <sheetData>
    <row r="1" spans="1:2" x14ac:dyDescent="0.25">
      <c r="A1" s="7" t="s">
        <v>16</v>
      </c>
      <c r="B1" s="7" t="s">
        <v>20</v>
      </c>
    </row>
    <row r="2" spans="1:2" x14ac:dyDescent="0.25">
      <c r="A2">
        <v>1359</v>
      </c>
      <c r="B2">
        <v>1728265</v>
      </c>
    </row>
    <row r="3" spans="1:2" x14ac:dyDescent="0.25">
      <c r="A3">
        <v>170</v>
      </c>
      <c r="B3">
        <v>215969</v>
      </c>
    </row>
    <row r="4" spans="1:2" x14ac:dyDescent="0.25">
      <c r="A4">
        <v>94</v>
      </c>
      <c r="B4">
        <v>158274</v>
      </c>
    </row>
    <row r="5" spans="1:2" x14ac:dyDescent="0.25">
      <c r="A5">
        <v>118</v>
      </c>
      <c r="B5">
        <v>140784</v>
      </c>
    </row>
    <row r="6" spans="1:2" x14ac:dyDescent="0.25">
      <c r="A6">
        <v>60</v>
      </c>
      <c r="B6">
        <v>115251</v>
      </c>
    </row>
    <row r="7" spans="1:2" x14ac:dyDescent="0.25">
      <c r="A7">
        <v>55</v>
      </c>
      <c r="B7">
        <v>106010</v>
      </c>
    </row>
    <row r="8" spans="1:2" x14ac:dyDescent="0.25">
      <c r="A8">
        <v>76</v>
      </c>
      <c r="B8">
        <v>99187</v>
      </c>
    </row>
    <row r="9" spans="1:2" x14ac:dyDescent="0.25">
      <c r="A9">
        <v>84</v>
      </c>
      <c r="B9">
        <v>98207</v>
      </c>
    </row>
    <row r="10" spans="1:2" x14ac:dyDescent="0.25">
      <c r="A10">
        <v>69</v>
      </c>
      <c r="B10">
        <v>91317</v>
      </c>
    </row>
    <row r="11" spans="1:2" x14ac:dyDescent="0.25">
      <c r="A11">
        <v>109</v>
      </c>
      <c r="B11">
        <v>87887</v>
      </c>
    </row>
    <row r="12" spans="1:2" x14ac:dyDescent="0.25">
      <c r="A12">
        <v>38</v>
      </c>
      <c r="B12">
        <v>85652</v>
      </c>
    </row>
    <row r="13" spans="1:2" x14ac:dyDescent="0.25">
      <c r="A13">
        <v>66</v>
      </c>
      <c r="B13">
        <v>60562</v>
      </c>
    </row>
    <row r="14" spans="1:2" x14ac:dyDescent="0.25">
      <c r="A14">
        <v>59</v>
      </c>
      <c r="B14">
        <v>53297</v>
      </c>
    </row>
    <row r="15" spans="1:2" x14ac:dyDescent="0.25">
      <c r="A15">
        <v>46</v>
      </c>
      <c r="B15">
        <v>46262</v>
      </c>
    </row>
    <row r="16" spans="1:2" x14ac:dyDescent="0.25">
      <c r="A16">
        <v>29</v>
      </c>
      <c r="B16">
        <v>42031</v>
      </c>
    </row>
    <row r="17" spans="1:2" x14ac:dyDescent="0.25">
      <c r="A17">
        <v>12</v>
      </c>
      <c r="B17">
        <v>36724</v>
      </c>
    </row>
    <row r="18" spans="1:2" x14ac:dyDescent="0.25">
      <c r="A18">
        <v>38</v>
      </c>
      <c r="B18">
        <v>30629</v>
      </c>
    </row>
    <row r="19" spans="1:2" x14ac:dyDescent="0.25">
      <c r="A19">
        <v>23</v>
      </c>
      <c r="B19">
        <v>24619</v>
      </c>
    </row>
    <row r="20" spans="1:2" x14ac:dyDescent="0.25">
      <c r="A20">
        <v>47</v>
      </c>
      <c r="B20">
        <v>23781</v>
      </c>
    </row>
    <row r="21" spans="1:2" x14ac:dyDescent="0.25">
      <c r="A21">
        <v>36</v>
      </c>
      <c r="B21">
        <v>22646</v>
      </c>
    </row>
    <row r="22" spans="1:2" x14ac:dyDescent="0.25">
      <c r="A22">
        <v>12</v>
      </c>
      <c r="B22">
        <v>21315</v>
      </c>
    </row>
    <row r="23" spans="1:2" x14ac:dyDescent="0.25">
      <c r="A23">
        <v>21</v>
      </c>
      <c r="B23">
        <v>21126</v>
      </c>
    </row>
    <row r="24" spans="1:2" x14ac:dyDescent="0.25">
      <c r="A24">
        <v>9</v>
      </c>
      <c r="B24">
        <v>17999</v>
      </c>
    </row>
    <row r="25" spans="1:2" x14ac:dyDescent="0.25">
      <c r="A25">
        <v>16</v>
      </c>
      <c r="B25">
        <v>17634</v>
      </c>
    </row>
    <row r="26" spans="1:2" x14ac:dyDescent="0.25">
      <c r="A26">
        <v>24</v>
      </c>
      <c r="B26">
        <v>16400</v>
      </c>
    </row>
    <row r="27" spans="1:2" x14ac:dyDescent="0.25">
      <c r="A27">
        <v>18</v>
      </c>
      <c r="B27">
        <v>16382</v>
      </c>
    </row>
    <row r="28" spans="1:2" x14ac:dyDescent="0.25">
      <c r="A28">
        <v>3</v>
      </c>
      <c r="B28">
        <v>15411</v>
      </c>
    </row>
    <row r="29" spans="1:2" x14ac:dyDescent="0.25">
      <c r="A29">
        <v>25</v>
      </c>
      <c r="B29">
        <v>14726</v>
      </c>
    </row>
    <row r="30" spans="1:2" x14ac:dyDescent="0.25">
      <c r="A30">
        <v>20</v>
      </c>
      <c r="B30">
        <v>14140</v>
      </c>
    </row>
    <row r="31" spans="1:2" x14ac:dyDescent="0.25">
      <c r="A31">
        <v>20</v>
      </c>
      <c r="B31">
        <v>13911</v>
      </c>
    </row>
    <row r="32" spans="1:2" x14ac:dyDescent="0.25">
      <c r="A32">
        <v>22</v>
      </c>
      <c r="B32">
        <v>12433</v>
      </c>
    </row>
    <row r="33" spans="1:2" x14ac:dyDescent="0.25">
      <c r="A33">
        <v>13</v>
      </c>
      <c r="B33">
        <v>11138</v>
      </c>
    </row>
    <row r="34" spans="1:2" x14ac:dyDescent="0.25">
      <c r="A34">
        <v>19</v>
      </c>
      <c r="B34">
        <v>11123</v>
      </c>
    </row>
    <row r="35" spans="1:2" x14ac:dyDescent="0.25">
      <c r="A35">
        <v>21</v>
      </c>
      <c r="B35">
        <v>11081</v>
      </c>
    </row>
    <row r="36" spans="1:2" x14ac:dyDescent="0.25">
      <c r="A36">
        <v>16</v>
      </c>
      <c r="B36">
        <v>10863</v>
      </c>
    </row>
    <row r="37" spans="1:2" x14ac:dyDescent="0.25">
      <c r="A37">
        <v>11</v>
      </c>
      <c r="B37">
        <v>9063</v>
      </c>
    </row>
    <row r="38" spans="1:2" x14ac:dyDescent="0.25">
      <c r="A38">
        <v>14</v>
      </c>
      <c r="B38">
        <v>8717</v>
      </c>
    </row>
    <row r="39" spans="1:2" x14ac:dyDescent="0.25">
      <c r="A39">
        <v>10</v>
      </c>
      <c r="B39">
        <v>6850</v>
      </c>
    </row>
    <row r="40" spans="1:2" x14ac:dyDescent="0.25">
      <c r="A40">
        <v>13</v>
      </c>
      <c r="B40">
        <v>6833</v>
      </c>
    </row>
    <row r="41" spans="1:2" x14ac:dyDescent="0.25">
      <c r="A41">
        <v>12</v>
      </c>
      <c r="B41">
        <v>6497</v>
      </c>
    </row>
    <row r="42" spans="1:2" x14ac:dyDescent="0.25">
      <c r="A42">
        <v>10</v>
      </c>
      <c r="B42">
        <v>6365</v>
      </c>
    </row>
    <row r="43" spans="1:2" x14ac:dyDescent="0.25">
      <c r="A43">
        <v>15</v>
      </c>
      <c r="B43">
        <v>6310</v>
      </c>
    </row>
    <row r="44" spans="1:2" x14ac:dyDescent="0.25">
      <c r="A44">
        <v>12</v>
      </c>
      <c r="B44">
        <v>5601</v>
      </c>
    </row>
    <row r="45" spans="1:2" x14ac:dyDescent="0.25">
      <c r="A45">
        <v>11</v>
      </c>
      <c r="B45">
        <v>5370</v>
      </c>
    </row>
    <row r="46" spans="1:2" x14ac:dyDescent="0.25">
      <c r="A46">
        <v>7</v>
      </c>
      <c r="B46">
        <v>5195</v>
      </c>
    </row>
    <row r="47" spans="1:2" x14ac:dyDescent="0.25">
      <c r="A47">
        <v>8</v>
      </c>
      <c r="B47">
        <v>4974</v>
      </c>
    </row>
    <row r="48" spans="1:2" x14ac:dyDescent="0.25">
      <c r="A48">
        <v>9</v>
      </c>
      <c r="B48">
        <v>4919</v>
      </c>
    </row>
    <row r="49" spans="1:2" x14ac:dyDescent="0.25">
      <c r="A49">
        <v>4</v>
      </c>
      <c r="B49">
        <v>4678</v>
      </c>
    </row>
    <row r="50" spans="1:2" x14ac:dyDescent="0.25">
      <c r="A50">
        <v>7</v>
      </c>
      <c r="B50">
        <v>4223</v>
      </c>
    </row>
    <row r="51" spans="1:2" x14ac:dyDescent="0.25">
      <c r="A51">
        <v>8</v>
      </c>
      <c r="B51">
        <v>3793</v>
      </c>
    </row>
    <row r="52" spans="1:2" x14ac:dyDescent="0.25">
      <c r="A52">
        <v>11</v>
      </c>
      <c r="B52">
        <v>3475</v>
      </c>
    </row>
    <row r="53" spans="1:2" x14ac:dyDescent="0.25">
      <c r="A53">
        <v>5</v>
      </c>
      <c r="B53">
        <v>3350</v>
      </c>
    </row>
    <row r="54" spans="1:2" x14ac:dyDescent="0.25">
      <c r="A54">
        <v>6</v>
      </c>
      <c r="B54">
        <v>3245</v>
      </c>
    </row>
    <row r="55" spans="1:2" x14ac:dyDescent="0.25">
      <c r="A55">
        <v>13</v>
      </c>
      <c r="B55">
        <v>3190</v>
      </c>
    </row>
    <row r="56" spans="1:2" x14ac:dyDescent="0.25">
      <c r="A56">
        <v>4</v>
      </c>
      <c r="B56">
        <v>2978</v>
      </c>
    </row>
    <row r="57" spans="1:2" x14ac:dyDescent="0.25">
      <c r="A57">
        <v>6</v>
      </c>
      <c r="B57">
        <v>2788</v>
      </c>
    </row>
    <row r="58" spans="1:2" x14ac:dyDescent="0.25">
      <c r="A58">
        <v>7</v>
      </c>
      <c r="B58">
        <v>2521</v>
      </c>
    </row>
    <row r="59" spans="1:2" x14ac:dyDescent="0.25">
      <c r="A59">
        <v>4</v>
      </c>
      <c r="B59">
        <v>2400</v>
      </c>
    </row>
    <row r="60" spans="1:2" x14ac:dyDescent="0.25">
      <c r="A60">
        <v>4</v>
      </c>
      <c r="B60">
        <v>2040</v>
      </c>
    </row>
    <row r="61" spans="1:2" x14ac:dyDescent="0.25">
      <c r="A61">
        <v>4</v>
      </c>
      <c r="B61">
        <v>1652</v>
      </c>
    </row>
    <row r="62" spans="1:2" x14ac:dyDescent="0.25">
      <c r="A62">
        <v>1</v>
      </c>
      <c r="B62">
        <v>1557</v>
      </c>
    </row>
    <row r="63" spans="1:2" x14ac:dyDescent="0.25">
      <c r="A63">
        <v>4</v>
      </c>
      <c r="B63">
        <v>1368</v>
      </c>
    </row>
    <row r="64" spans="1:2" x14ac:dyDescent="0.25">
      <c r="A64">
        <v>3</v>
      </c>
      <c r="B64">
        <v>1252</v>
      </c>
    </row>
    <row r="65" spans="1:2" x14ac:dyDescent="0.25">
      <c r="A65">
        <v>1</v>
      </c>
      <c r="B65">
        <v>1234</v>
      </c>
    </row>
    <row r="66" spans="1:2" x14ac:dyDescent="0.25">
      <c r="A66">
        <v>4</v>
      </c>
      <c r="B66">
        <v>1109</v>
      </c>
    </row>
    <row r="67" spans="1:2" x14ac:dyDescent="0.25">
      <c r="A67">
        <v>1</v>
      </c>
      <c r="B67">
        <v>1025</v>
      </c>
    </row>
    <row r="68" spans="1:2" x14ac:dyDescent="0.25">
      <c r="A68">
        <v>1</v>
      </c>
      <c r="B68">
        <v>1011</v>
      </c>
    </row>
    <row r="69" spans="1:2" x14ac:dyDescent="0.25">
      <c r="A69">
        <v>1</v>
      </c>
      <c r="B69">
        <v>995</v>
      </c>
    </row>
    <row r="70" spans="1:2" x14ac:dyDescent="0.25">
      <c r="A70">
        <v>4</v>
      </c>
      <c r="B70">
        <v>950</v>
      </c>
    </row>
    <row r="71" spans="1:2" x14ac:dyDescent="0.25">
      <c r="A71">
        <v>4</v>
      </c>
      <c r="B71">
        <v>902</v>
      </c>
    </row>
    <row r="72" spans="1:2" x14ac:dyDescent="0.25">
      <c r="A72">
        <v>2</v>
      </c>
      <c r="B72">
        <v>850</v>
      </c>
    </row>
    <row r="73" spans="1:2" x14ac:dyDescent="0.25">
      <c r="A73">
        <v>5</v>
      </c>
      <c r="B73">
        <v>798</v>
      </c>
    </row>
    <row r="74" spans="1:2" x14ac:dyDescent="0.25">
      <c r="A74">
        <v>3</v>
      </c>
      <c r="B74">
        <v>757</v>
      </c>
    </row>
    <row r="75" spans="1:2" x14ac:dyDescent="0.25">
      <c r="A75">
        <v>2</v>
      </c>
      <c r="B75">
        <v>757</v>
      </c>
    </row>
    <row r="76" spans="1:2" x14ac:dyDescent="0.25">
      <c r="A76">
        <v>2</v>
      </c>
      <c r="B76">
        <v>602</v>
      </c>
    </row>
    <row r="77" spans="1:2" x14ac:dyDescent="0.25">
      <c r="A77">
        <v>2</v>
      </c>
      <c r="B77">
        <v>572</v>
      </c>
    </row>
    <row r="78" spans="1:2" x14ac:dyDescent="0.25">
      <c r="A78">
        <v>3</v>
      </c>
      <c r="B78">
        <v>554</v>
      </c>
    </row>
    <row r="79" spans="1:2" x14ac:dyDescent="0.25">
      <c r="A79">
        <v>3</v>
      </c>
      <c r="B79">
        <v>546</v>
      </c>
    </row>
    <row r="80" spans="1:2" x14ac:dyDescent="0.25">
      <c r="A80">
        <v>1</v>
      </c>
      <c r="B80">
        <v>481</v>
      </c>
    </row>
    <row r="81" spans="1:2" x14ac:dyDescent="0.25">
      <c r="A81">
        <v>2</v>
      </c>
      <c r="B81">
        <v>359</v>
      </c>
    </row>
    <row r="82" spans="1:2" x14ac:dyDescent="0.25">
      <c r="A82">
        <v>1</v>
      </c>
      <c r="B82">
        <v>359</v>
      </c>
    </row>
    <row r="83" spans="1:2" x14ac:dyDescent="0.25">
      <c r="A83">
        <v>1</v>
      </c>
      <c r="B83">
        <v>343</v>
      </c>
    </row>
    <row r="84" spans="1:2" x14ac:dyDescent="0.25">
      <c r="A84">
        <v>1</v>
      </c>
      <c r="B84">
        <v>335</v>
      </c>
    </row>
    <row r="85" spans="1:2" x14ac:dyDescent="0.25">
      <c r="A85">
        <v>1</v>
      </c>
      <c r="B85">
        <v>277</v>
      </c>
    </row>
    <row r="86" spans="1:2" x14ac:dyDescent="0.25">
      <c r="A86">
        <v>1</v>
      </c>
      <c r="B86">
        <v>268</v>
      </c>
    </row>
    <row r="87" spans="1:2" x14ac:dyDescent="0.25">
      <c r="A87">
        <v>1</v>
      </c>
      <c r="B87">
        <v>246</v>
      </c>
    </row>
    <row r="88" spans="1:2" x14ac:dyDescent="0.25">
      <c r="A88">
        <v>1</v>
      </c>
      <c r="B88">
        <v>223</v>
      </c>
    </row>
    <row r="89" spans="1:2" x14ac:dyDescent="0.25">
      <c r="A89">
        <v>1</v>
      </c>
      <c r="B89">
        <v>170</v>
      </c>
    </row>
    <row r="90" spans="1:2" x14ac:dyDescent="0.25">
      <c r="A90">
        <v>1</v>
      </c>
      <c r="B90">
        <v>158</v>
      </c>
    </row>
    <row r="91" spans="1:2" x14ac:dyDescent="0.25">
      <c r="A91">
        <v>1</v>
      </c>
      <c r="B91">
        <v>154</v>
      </c>
    </row>
    <row r="92" spans="1:2" x14ac:dyDescent="0.25">
      <c r="A92">
        <v>1</v>
      </c>
      <c r="B92">
        <v>148</v>
      </c>
    </row>
    <row r="93" spans="1:2" x14ac:dyDescent="0.25">
      <c r="A93">
        <v>1</v>
      </c>
      <c r="B93">
        <v>96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showGridLines="0" workbookViewId="0">
      <pane ySplit="4" topLeftCell="A5" activePane="bottomLeft" state="frozen"/>
      <selection pane="bottomLeft" activeCell="H6" sqref="H6"/>
    </sheetView>
  </sheetViews>
  <sheetFormatPr defaultRowHeight="15" x14ac:dyDescent="0.25"/>
  <cols>
    <col min="1" max="1" width="18" customWidth="1"/>
    <col min="2" max="2" width="48" customWidth="1"/>
    <col min="3" max="3" width="78" customWidth="1"/>
  </cols>
  <sheetData>
    <row r="1" spans="1:3" ht="35.1" customHeight="1" x14ac:dyDescent="0.25">
      <c r="A1" s="15" t="s">
        <v>309</v>
      </c>
      <c r="B1" s="16"/>
      <c r="C1" s="16"/>
    </row>
    <row r="3" spans="1:3" x14ac:dyDescent="0.25">
      <c r="A3" s="11"/>
      <c r="B3" s="11"/>
    </row>
    <row r="4" spans="1:3" x14ac:dyDescent="0.25">
      <c r="A4" s="12" t="s">
        <v>310</v>
      </c>
      <c r="B4" s="12" t="s">
        <v>311</v>
      </c>
      <c r="C4" s="12" t="s">
        <v>312</v>
      </c>
    </row>
    <row r="5" spans="1:3" ht="42" customHeight="1" x14ac:dyDescent="0.25">
      <c r="A5" s="13" t="s">
        <v>14</v>
      </c>
      <c r="B5" s="13" t="s">
        <v>313</v>
      </c>
      <c r="C5" s="13" t="s">
        <v>314</v>
      </c>
    </row>
    <row r="6" spans="1:3" ht="42" customHeight="1" x14ac:dyDescent="0.25">
      <c r="A6" s="14" t="s">
        <v>15</v>
      </c>
      <c r="B6" s="14" t="s">
        <v>308</v>
      </c>
      <c r="C6" s="14" t="s">
        <v>315</v>
      </c>
    </row>
    <row r="7" spans="1:3" ht="42" customHeight="1" x14ac:dyDescent="0.25">
      <c r="A7" s="13" t="s">
        <v>16</v>
      </c>
      <c r="B7" s="13" t="s">
        <v>316</v>
      </c>
      <c r="C7" s="13" t="s">
        <v>317</v>
      </c>
    </row>
    <row r="8" spans="1:3" ht="42" customHeight="1" x14ac:dyDescent="0.25">
      <c r="A8" s="14" t="s">
        <v>17</v>
      </c>
      <c r="B8" s="14" t="s">
        <v>318</v>
      </c>
      <c r="C8" s="14" t="s">
        <v>319</v>
      </c>
    </row>
    <row r="9" spans="1:3" ht="42" customHeight="1" x14ac:dyDescent="0.25">
      <c r="A9" s="13" t="s">
        <v>18</v>
      </c>
      <c r="B9" s="13" t="s">
        <v>320</v>
      </c>
      <c r="C9" s="13" t="s">
        <v>321</v>
      </c>
    </row>
    <row r="10" spans="1:3" ht="42" customHeight="1" x14ac:dyDescent="0.25">
      <c r="A10" s="14" t="s">
        <v>19</v>
      </c>
      <c r="B10" s="14" t="s">
        <v>322</v>
      </c>
      <c r="C10" s="14" t="s">
        <v>323</v>
      </c>
    </row>
    <row r="11" spans="1:3" ht="42" customHeight="1" x14ac:dyDescent="0.25">
      <c r="A11" s="13" t="s">
        <v>20</v>
      </c>
      <c r="B11" s="13" t="s">
        <v>324</v>
      </c>
      <c r="C11" s="13" t="s">
        <v>325</v>
      </c>
    </row>
    <row r="12" spans="1:3" ht="42" customHeight="1" x14ac:dyDescent="0.25">
      <c r="A12" s="14" t="s">
        <v>21</v>
      </c>
      <c r="B12" s="14" t="s">
        <v>326</v>
      </c>
      <c r="C12" s="14" t="s">
        <v>327</v>
      </c>
    </row>
    <row r="13" spans="1:3" ht="42" customHeight="1" x14ac:dyDescent="0.25">
      <c r="A13" s="13" t="s">
        <v>22</v>
      </c>
      <c r="B13" s="13" t="s">
        <v>328</v>
      </c>
      <c r="C13" s="13" t="s">
        <v>329</v>
      </c>
    </row>
    <row r="14" spans="1:3" ht="42" customHeight="1" x14ac:dyDescent="0.25">
      <c r="A14" s="14" t="s">
        <v>23</v>
      </c>
      <c r="B14" s="14" t="s">
        <v>330</v>
      </c>
      <c r="C14" s="14" t="s">
        <v>331</v>
      </c>
    </row>
    <row r="15" spans="1:3" ht="42" customHeight="1" x14ac:dyDescent="0.25">
      <c r="A15" s="13" t="s">
        <v>24</v>
      </c>
      <c r="B15" s="13" t="s">
        <v>332</v>
      </c>
      <c r="C15" s="13" t="s">
        <v>333</v>
      </c>
    </row>
    <row r="16" spans="1:3" ht="42" customHeight="1" x14ac:dyDescent="0.25">
      <c r="A16" s="14" t="s">
        <v>25</v>
      </c>
      <c r="B16" s="14" t="s">
        <v>334</v>
      </c>
      <c r="C16" s="14" t="s">
        <v>335</v>
      </c>
    </row>
    <row r="17" spans="1:3" ht="42" customHeight="1" x14ac:dyDescent="0.25">
      <c r="A17" s="13" t="s">
        <v>26</v>
      </c>
      <c r="B17" s="13" t="s">
        <v>336</v>
      </c>
      <c r="C17" s="13" t="s">
        <v>337</v>
      </c>
    </row>
    <row r="18" spans="1:3" ht="42" customHeight="1" x14ac:dyDescent="0.25">
      <c r="A18" s="14" t="s">
        <v>27</v>
      </c>
      <c r="B18" s="14" t="s">
        <v>338</v>
      </c>
      <c r="C18" s="14" t="s">
        <v>339</v>
      </c>
    </row>
    <row r="19" spans="1:3" ht="42" customHeight="1" x14ac:dyDescent="0.25">
      <c r="A19" s="13" t="s">
        <v>28</v>
      </c>
      <c r="B19" s="13" t="s">
        <v>340</v>
      </c>
      <c r="C19" s="13" t="s">
        <v>341</v>
      </c>
    </row>
    <row r="20" spans="1:3" ht="42" customHeight="1" x14ac:dyDescent="0.25">
      <c r="A20" s="14" t="s">
        <v>29</v>
      </c>
      <c r="B20" s="14" t="s">
        <v>342</v>
      </c>
      <c r="C20" s="14" t="s">
        <v>343</v>
      </c>
    </row>
    <row r="21" spans="1:3" ht="42" customHeight="1" x14ac:dyDescent="0.25">
      <c r="A21" s="13" t="s">
        <v>30</v>
      </c>
      <c r="B21" s="13" t="s">
        <v>344</v>
      </c>
      <c r="C21" s="13" t="s">
        <v>345</v>
      </c>
    </row>
    <row r="22" spans="1:3" ht="42" customHeight="1" x14ac:dyDescent="0.25">
      <c r="A22" s="14" t="s">
        <v>31</v>
      </c>
      <c r="B22" s="14" t="s">
        <v>346</v>
      </c>
      <c r="C22" s="14" t="s">
        <v>347</v>
      </c>
    </row>
    <row r="23" spans="1:3" ht="42" customHeight="1" x14ac:dyDescent="0.25">
      <c r="A23" s="13" t="s">
        <v>32</v>
      </c>
      <c r="B23" s="13" t="s">
        <v>348</v>
      </c>
      <c r="C23" s="13" t="s">
        <v>349</v>
      </c>
    </row>
    <row r="24" spans="1:3" ht="42" customHeight="1" x14ac:dyDescent="0.25">
      <c r="A24" s="14" t="s">
        <v>33</v>
      </c>
      <c r="B24" s="14" t="s">
        <v>350</v>
      </c>
      <c r="C24" s="14" t="s">
        <v>351</v>
      </c>
    </row>
    <row r="27" spans="1:3" x14ac:dyDescent="0.25">
      <c r="A27" s="10"/>
      <c r="B27" s="9"/>
      <c r="C27" s="9"/>
    </row>
  </sheetData>
  <mergeCells count="2">
    <mergeCell ref="A1:C1"/>
    <mergeCell ref="A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Perguntas e Gráficos</vt:lpstr>
      <vt:lpstr>Aux_População</vt:lpstr>
      <vt:lpstr>Aux_Densidade</vt:lpstr>
      <vt:lpstr>Aux_Correlação</vt:lpstr>
      <vt:lpstr>Explicação das Siglas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Conferentes Terminal1</cp:lastModifiedBy>
  <dcterms:created xsi:type="dcterms:W3CDTF">2026-09-07T17:44:12Z</dcterms:created>
  <dcterms:modified xsi:type="dcterms:W3CDTF">2026-09-07T18:26:06Z</dcterms:modified>
</cp:coreProperties>
</file>